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hgourmain-my.sharepoint.com/personal/p_carteron_racines_com/Documents/personnel/Rsequoia2/inst/xlsx/"/>
    </mc:Choice>
  </mc:AlternateContent>
  <xr:revisionPtr revIDLastSave="4" documentId="13_ncr:1_{9EFAE8A3-53CA-423A-9F3E-9B2CE4894C20}" xr6:coauthVersionLast="47" xr6:coauthVersionMax="47" xr10:uidLastSave="{E8CFF048-7A2D-44EA-87D4-85FC08339BA1}"/>
  <bookViews>
    <workbookView xWindow="-120" yWindow="-16320" windowWidth="29040" windowHeight="15720" activeTab="3" xr2:uid="{00000000-000D-0000-FFFF-FFFF00000000}"/>
  </bookViews>
  <sheets>
    <sheet name="DRIAS_METADATA" sheetId="7" r:id="rId1"/>
    <sheet name="DRIAS_RAW" sheetId="4" r:id="rId2"/>
    <sheet name="DRIAS_OMBRO" sheetId="5" r:id="rId3"/>
    <sheet name="DRIAS_ETP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6" l="1"/>
  <c r="F39" i="6"/>
  <c r="F40" i="6"/>
  <c r="F41" i="6"/>
  <c r="F42" i="6"/>
  <c r="F43" i="6"/>
  <c r="F44" i="6"/>
  <c r="F45" i="6"/>
  <c r="F46" i="6"/>
  <c r="F47" i="6"/>
  <c r="F48" i="6"/>
  <c r="F49" i="6"/>
  <c r="G38" i="5"/>
  <c r="G39" i="5"/>
  <c r="G40" i="5"/>
  <c r="G41" i="5"/>
  <c r="G42" i="5"/>
  <c r="G43" i="5"/>
  <c r="G44" i="5"/>
  <c r="G45" i="5"/>
  <c r="G46" i="5"/>
  <c r="G47" i="5"/>
  <c r="G48" i="5"/>
  <c r="G49" i="5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<sst xmlns="http://schemas.openxmlformats.org/spreadsheetml/2006/main" count="466" uniqueCount="146">
  <si>
    <t>PERIODE</t>
  </si>
  <si>
    <t>MONTH_LABEL</t>
  </si>
  <si>
    <t>POINT</t>
  </si>
  <si>
    <t>LATITUDE</t>
  </si>
  <si>
    <t>LONGITUDE</t>
  </si>
  <si>
    <t>MOIS</t>
  </si>
  <si>
    <t>NORTAV</t>
  </si>
  <si>
    <t>NORTNAV</t>
  </si>
  <si>
    <t>NORTXAV</t>
  </si>
  <si>
    <t>NORSD</t>
  </si>
  <si>
    <t>NORTX35</t>
  </si>
  <si>
    <t>NORTXND</t>
  </si>
  <si>
    <t>NORTNHT</t>
  </si>
  <si>
    <t>NORTR</t>
  </si>
  <si>
    <t>NORTNFD</t>
  </si>
  <si>
    <t>NORTNND</t>
  </si>
  <si>
    <t>NORTXFD</t>
  </si>
  <si>
    <t>NORTNCWD</t>
  </si>
  <si>
    <t>NORTXHWD</t>
  </si>
  <si>
    <t>NORTRAV</t>
  </si>
  <si>
    <t>NORTXQ90</t>
  </si>
  <si>
    <t>NORTXQ10</t>
  </si>
  <si>
    <t>NORTNQ10</t>
  </si>
  <si>
    <t>NORTNQ90</t>
  </si>
  <si>
    <t>NORHDD</t>
  </si>
  <si>
    <t>NORCDD</t>
  </si>
  <si>
    <t>NORPAV</t>
  </si>
  <si>
    <t>NORRR</t>
  </si>
  <si>
    <t>NORRR1MM</t>
  </si>
  <si>
    <t>NORPN20MM</t>
  </si>
  <si>
    <t>NORPFL90</t>
  </si>
  <si>
    <t>NORPXCWD</t>
  </si>
  <si>
    <t>NORPXCDD</t>
  </si>
  <si>
    <t>NORTPSPI</t>
  </si>
  <si>
    <t>NORPINT</t>
  </si>
  <si>
    <t>NORHUSAV</t>
  </si>
  <si>
    <t>NORETPC</t>
  </si>
  <si>
    <t>ATAV</t>
  </si>
  <si>
    <t>ATNAV</t>
  </si>
  <si>
    <t>ATXAV</t>
  </si>
  <si>
    <t>ASD</t>
  </si>
  <si>
    <t>ATX35</t>
  </si>
  <si>
    <t>ATXND</t>
  </si>
  <si>
    <t>ATNHT</t>
  </si>
  <si>
    <t>ATR</t>
  </si>
  <si>
    <t>ATNFD</t>
  </si>
  <si>
    <t>ATNND</t>
  </si>
  <si>
    <t>ATXFD</t>
  </si>
  <si>
    <t>ATNCWD</t>
  </si>
  <si>
    <t>ATXHWD</t>
  </si>
  <si>
    <t>ATRAV</t>
  </si>
  <si>
    <t>ATXQ90</t>
  </si>
  <si>
    <t>ATXQ10</t>
  </si>
  <si>
    <t>ATNQ10</t>
  </si>
  <si>
    <t>ATNQ90</t>
  </si>
  <si>
    <t>AHDD</t>
  </si>
  <si>
    <t>ACDD</t>
  </si>
  <si>
    <t>APAV</t>
  </si>
  <si>
    <t>ARR</t>
  </si>
  <si>
    <t>ARR1MM</t>
  </si>
  <si>
    <t>APN20MM</t>
  </si>
  <si>
    <t>APFL90</t>
  </si>
  <si>
    <t>APXCWD</t>
  </si>
  <si>
    <t>APXCDD</t>
  </si>
  <si>
    <t>APINT</t>
  </si>
  <si>
    <t>AFFAV</t>
  </si>
  <si>
    <t>AFF3</t>
  </si>
  <si>
    <t>AHUSAV</t>
  </si>
  <si>
    <t>AETPC</t>
  </si>
  <si>
    <t>ARETPC</t>
  </si>
  <si>
    <t>H1</t>
  </si>
  <si>
    <t>H2</t>
  </si>
  <si>
    <t>H3</t>
  </si>
  <si>
    <t>2021-2050</t>
  </si>
  <si>
    <t>2041-2070</t>
  </si>
  <si>
    <t>2071-2100</t>
  </si>
  <si>
    <t>P-ETP</t>
  </si>
  <si>
    <t>code</t>
  </si>
  <si>
    <t>description</t>
  </si>
  <si>
    <t>Température moyenne journalière (°C)</t>
  </si>
  <si>
    <t>Température minimale journalière (°C)</t>
  </si>
  <si>
    <t>Température maximale journalière (°C)</t>
  </si>
  <si>
    <t>Nombre de journées d'été (jour(s))</t>
  </si>
  <si>
    <t>Nombre de jours de fortes chaleur ( TX&gt;35°C ) (jour(s))</t>
  </si>
  <si>
    <t>Nombre de jours anormalement chauds (jour(s))</t>
  </si>
  <si>
    <t>Nombre de nuits anormalement chaudes (jour(s))</t>
  </si>
  <si>
    <t>Nombre de nuits tropicales (jour(s))</t>
  </si>
  <si>
    <t>Nombre de jours de gel (jour(s))</t>
  </si>
  <si>
    <t>Nombre de jours anormalement froids (jour(s))</t>
  </si>
  <si>
    <t>Nombre de jours sans dégel (jour(s))</t>
  </si>
  <si>
    <t>Nombre de jours d'une vague de froid (jour(s))</t>
  </si>
  <si>
    <t>Nombre de jours d'une vague de chaleur (jour(s))</t>
  </si>
  <si>
    <t>Amplitude thermique journalière (°C)</t>
  </si>
  <si>
    <t>Extrême chaud de la température maximale journalière (°C)</t>
  </si>
  <si>
    <t>Extrême froid de la température maximale journalière (°C)</t>
  </si>
  <si>
    <t>Extrême froid de la température minimale journalière (°C)</t>
  </si>
  <si>
    <t>Extrême chaud de la température minimale journalière (°C)</t>
  </si>
  <si>
    <t>degré-jours de chauffage (°C)</t>
  </si>
  <si>
    <t>degré-jours de climatisation (°C)</t>
  </si>
  <si>
    <t>Précipitations journalières moyennes (mm)</t>
  </si>
  <si>
    <t>Cumul de précipitation (mm)</t>
  </si>
  <si>
    <t>Nombre de jours de pluie (jour(s))</t>
  </si>
  <si>
    <t>Nombre de jours de fortes précipitations (jour(s))</t>
  </si>
  <si>
    <t>Fraction des précipitations journalières intenses (%)</t>
  </si>
  <si>
    <t>Nombre maximum de jours pluvieux consécutifs (jour(s))</t>
  </si>
  <si>
    <t>Période de sécheresse (jour(s))</t>
  </si>
  <si>
    <t>Temps passé en sécheresse météorologique</t>
  </si>
  <si>
    <t>Précipitation moyenne les jours pluvieux (mm)</t>
  </si>
  <si>
    <t>Humidité spécifique moyenne (g/kg)</t>
  </si>
  <si>
    <t>ETP cumulée (mm)</t>
  </si>
  <si>
    <t>Ecart de température moyenne journalière (°C)</t>
  </si>
  <si>
    <t>Ecart de température minimale journalière (°C)</t>
  </si>
  <si>
    <t>Ecart de température maximale journalière (°C)</t>
  </si>
  <si>
    <t>Ecart de nombre de journées d'été (jour(s))</t>
  </si>
  <si>
    <t>Ecart de nombre de jours de fortes chaleur ( tx&gt;35°c ) (jour(s))</t>
  </si>
  <si>
    <t>Ecart de nombre de jours anormalement chauds (jour(s))</t>
  </si>
  <si>
    <t>Ecart de nombre de nuits anormalement chaudes (jour(s))</t>
  </si>
  <si>
    <t>Ecart de nombre de nuits tropicales (jour(s))</t>
  </si>
  <si>
    <t>Ecart de nombre de jours de gel (jour(s))</t>
  </si>
  <si>
    <t>Ecart de nombre de jours anormalement froids (jour(s))</t>
  </si>
  <si>
    <t>Ecart de nombre de jours sans dégel (jour(s))</t>
  </si>
  <si>
    <t>Ecart de nombre de jours d'une vague de froid (jour(s))</t>
  </si>
  <si>
    <t>Ecart de nombre de jours d'une vague de chaleur (jour(s))</t>
  </si>
  <si>
    <t>Ecart de amplitude thermique journalière (°C)</t>
  </si>
  <si>
    <t>Ecart de extrême chaud de la température maximale journalière (°C)</t>
  </si>
  <si>
    <t>Ecart de extrême froid de la température maximale journalière (°C)</t>
  </si>
  <si>
    <t>Ecart de extrême froid de la température minimale journalière (°C)</t>
  </si>
  <si>
    <t>Ecart de extrême chaud de la température minimale journalière (°C)</t>
  </si>
  <si>
    <t>Ecart de degré-jours de chauffage (°C)</t>
  </si>
  <si>
    <t>Ecart de degré-jours de climatisation (°C)</t>
  </si>
  <si>
    <t>Ecart de précipitations journalières moyennes (mm)</t>
  </si>
  <si>
    <t>Ecart de cumul de précipitation (mm)</t>
  </si>
  <si>
    <t>Ecart de nombre de jours de pluie (jour(s))</t>
  </si>
  <si>
    <t>Ecart de nombre de jours de fortes précipitations (jour(s))</t>
  </si>
  <si>
    <t>Ecart de fraction des précipitations journalières intenses (%)</t>
  </si>
  <si>
    <t>Ecart de nombre maximum de jours pluvieux consécutifs (jour(s))</t>
  </si>
  <si>
    <t>Ecart de période de sécheresse (jour(s))</t>
  </si>
  <si>
    <t>Ecart de précipitation moyenne les jours pluvieux (mm)</t>
  </si>
  <si>
    <t>Ecart de vitesse du vent moyenne (m/s)</t>
  </si>
  <si>
    <t>Ecart de nombre de jours sans vent (&lt;3 m/s) (jour(s))</t>
  </si>
  <si>
    <t>Ecart de humidité spécifique moyenne (g/kg)</t>
  </si>
  <si>
    <t>Ecart de etp cumulée (mm)</t>
  </si>
  <si>
    <t>Ecart relatif de etp cumulée</t>
  </si>
  <si>
    <t>H0</t>
  </si>
  <si>
    <t>LABEL</t>
  </si>
  <si>
    <t>1976-2005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</si>
</sst>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A50021"/>
      <color rgb="FFCC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Diagramme Ombrothermique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DRIAS_OMBRO!$A$2</c:f>
              <c:strCache>
                <c:ptCount val="1"/>
                <c:pt idx="0">
                  <c:v>1976-2005</c:v>
                </c:pt>
              </c:strCache>
            </c:strRef>
          </c:tx>
          <c:spPr>
            <a:solidFill>
              <a:srgbClr val="CCECFF"/>
            </a:solidFill>
            <a:ln>
              <a:noFill/>
            </a:ln>
            <a:effectLst/>
          </c:spPr>
          <c:invertIfNegative val="0"/>
          <c:cat>
            <c:strRef>
              <c:f>DRIAS_OMBRO!$G$2:$G$13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DRIAS_OMBRO!$F$2:$F$13</c:f>
              <c:numCache>
                <c:formatCode>0</c:formatCode>
                <c:ptCount val="12"/>
                <c:pt idx="0">
                  <c:v>112.02</c:v>
                </c:pt>
                <c:pt idx="1">
                  <c:v>76.64</c:v>
                </c:pt>
                <c:pt idx="2">
                  <c:v>81.180000000000007</c:v>
                </c:pt>
                <c:pt idx="3">
                  <c:v>76.27</c:v>
                </c:pt>
                <c:pt idx="4">
                  <c:v>60.85</c:v>
                </c:pt>
                <c:pt idx="5">
                  <c:v>51.6</c:v>
                </c:pt>
                <c:pt idx="6">
                  <c:v>48.61</c:v>
                </c:pt>
                <c:pt idx="7">
                  <c:v>47.5</c:v>
                </c:pt>
                <c:pt idx="8">
                  <c:v>73.52</c:v>
                </c:pt>
                <c:pt idx="9">
                  <c:v>96.45</c:v>
                </c:pt>
                <c:pt idx="10">
                  <c:v>105.5</c:v>
                </c:pt>
                <c:pt idx="11">
                  <c:v>119.76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F-473A-A922-5CD4493D4DC2}"/>
            </c:ext>
          </c:extLst>
        </c:ser>
        <c:ser>
          <c:idx val="1"/>
          <c:order val="1"/>
          <c:tx>
            <c:strRef>
              <c:f>DRIAS_OMBRO!$A$14</c:f>
              <c:strCache>
                <c:ptCount val="1"/>
                <c:pt idx="0">
                  <c:v>2021-2050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DRIAS_OMBRO!$G$2:$G$13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DRIAS_OMBRO!$F$14:$F$25</c:f>
              <c:numCache>
                <c:formatCode>0</c:formatCode>
                <c:ptCount val="12"/>
                <c:pt idx="0">
                  <c:v>124.02</c:v>
                </c:pt>
                <c:pt idx="1">
                  <c:v>100.52</c:v>
                </c:pt>
                <c:pt idx="2">
                  <c:v>99.07</c:v>
                </c:pt>
                <c:pt idx="3">
                  <c:v>73.83</c:v>
                </c:pt>
                <c:pt idx="4">
                  <c:v>68.02</c:v>
                </c:pt>
                <c:pt idx="5">
                  <c:v>58.35</c:v>
                </c:pt>
                <c:pt idx="6">
                  <c:v>67.34</c:v>
                </c:pt>
                <c:pt idx="7">
                  <c:v>45.13</c:v>
                </c:pt>
                <c:pt idx="8">
                  <c:v>61.51</c:v>
                </c:pt>
                <c:pt idx="9">
                  <c:v>114.33</c:v>
                </c:pt>
                <c:pt idx="10">
                  <c:v>106.99</c:v>
                </c:pt>
                <c:pt idx="11">
                  <c:v>107.71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F-473A-A922-5CD4493D4DC2}"/>
            </c:ext>
          </c:extLst>
        </c:ser>
        <c:ser>
          <c:idx val="4"/>
          <c:order val="2"/>
          <c:tx>
            <c:strRef>
              <c:f>DRIAS_OMBRO!$A$26</c:f>
              <c:strCache>
                <c:ptCount val="1"/>
                <c:pt idx="0">
                  <c:v>2041-2070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DRIAS_OMBRO!$F$26:$F$37</c:f>
              <c:numCache>
                <c:formatCode>0</c:formatCode>
                <c:ptCount val="12"/>
                <c:pt idx="0">
                  <c:v>117.93</c:v>
                </c:pt>
                <c:pt idx="1">
                  <c:v>102.45</c:v>
                </c:pt>
                <c:pt idx="2">
                  <c:v>93.34</c:v>
                </c:pt>
                <c:pt idx="3">
                  <c:v>72.03</c:v>
                </c:pt>
                <c:pt idx="4">
                  <c:v>66.180000000000007</c:v>
                </c:pt>
                <c:pt idx="5">
                  <c:v>43.25</c:v>
                </c:pt>
                <c:pt idx="6">
                  <c:v>54.15</c:v>
                </c:pt>
                <c:pt idx="7">
                  <c:v>47.2</c:v>
                </c:pt>
                <c:pt idx="8">
                  <c:v>57.4</c:v>
                </c:pt>
                <c:pt idx="9">
                  <c:v>110.24</c:v>
                </c:pt>
                <c:pt idx="10">
                  <c:v>109.43</c:v>
                </c:pt>
                <c:pt idx="11">
                  <c:v>124.86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49F-473A-A922-5CD4493D4DC2}"/>
            </c:ext>
          </c:extLst>
        </c:ser>
        <c:ser>
          <c:idx val="6"/>
          <c:order val="3"/>
          <c:tx>
            <c:strRef>
              <c:f>DRIAS_OMBRO!$A$38</c:f>
              <c:strCache>
                <c:ptCount val="1"/>
                <c:pt idx="0">
                  <c:v>2071-2100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DRIAS_OMBRO!$F$38:$F$49</c:f>
              <c:numCache>
                <c:formatCode>0</c:formatCode>
                <c:ptCount val="12"/>
                <c:pt idx="0">
                  <c:v>117.11</c:v>
                </c:pt>
                <c:pt idx="1">
                  <c:v>100.85</c:v>
                </c:pt>
                <c:pt idx="2">
                  <c:v>98.01</c:v>
                </c:pt>
                <c:pt idx="3">
                  <c:v>71.84</c:v>
                </c:pt>
                <c:pt idx="4">
                  <c:v>59.86</c:v>
                </c:pt>
                <c:pt idx="5">
                  <c:v>48.85</c:v>
                </c:pt>
                <c:pt idx="6">
                  <c:v>42.58</c:v>
                </c:pt>
                <c:pt idx="7">
                  <c:v>45.93</c:v>
                </c:pt>
                <c:pt idx="8">
                  <c:v>70.7</c:v>
                </c:pt>
                <c:pt idx="9">
                  <c:v>91.35</c:v>
                </c:pt>
                <c:pt idx="10">
                  <c:v>111.15</c:v>
                </c:pt>
                <c:pt idx="11">
                  <c:v>131.01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4-4473-91EC-9DF6D01AC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546335"/>
        <c:axId val="899549695"/>
      </c:barChart>
      <c:lineChart>
        <c:grouping val="standard"/>
        <c:varyColors val="0"/>
        <c:ser>
          <c:idx val="2"/>
          <c:order val="4"/>
          <c:tx>
            <c:strRef>
              <c:f>DRIAS_OMBRO!$A$2</c:f>
              <c:strCache>
                <c:ptCount val="1"/>
                <c:pt idx="0">
                  <c:v>1976-2005</c:v>
                </c:pt>
              </c:strCache>
            </c:strRef>
          </c:tx>
          <c:spPr>
            <a:ln w="28575" cap="rnd">
              <a:solidFill>
                <a:srgbClr val="FFA3A3"/>
              </a:solidFill>
              <a:round/>
            </a:ln>
            <a:effectLst/>
          </c:spPr>
          <c:marker>
            <c:symbol val="none"/>
          </c:marker>
          <c:val>
            <c:numRef>
              <c:f>DRIAS_OMBRO!$C$2:$C$13</c:f>
              <c:numCache>
                <c:formatCode>0</c:formatCode>
                <c:ptCount val="12"/>
                <c:pt idx="0">
                  <c:v>6.68</c:v>
                </c:pt>
                <c:pt idx="1">
                  <c:v>6.67</c:v>
                </c:pt>
                <c:pt idx="2">
                  <c:v>8.74</c:v>
                </c:pt>
                <c:pt idx="3">
                  <c:v>10.32</c:v>
                </c:pt>
                <c:pt idx="4">
                  <c:v>13.31</c:v>
                </c:pt>
                <c:pt idx="5">
                  <c:v>15.46</c:v>
                </c:pt>
                <c:pt idx="6">
                  <c:v>18.170000000000002</c:v>
                </c:pt>
                <c:pt idx="7">
                  <c:v>18.3</c:v>
                </c:pt>
                <c:pt idx="8">
                  <c:v>16.18</c:v>
                </c:pt>
                <c:pt idx="9">
                  <c:v>13</c:v>
                </c:pt>
                <c:pt idx="10">
                  <c:v>9.64</c:v>
                </c:pt>
                <c:pt idx="11">
                  <c:v>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9F-473A-A922-5CD4493D4DC2}"/>
            </c:ext>
          </c:extLst>
        </c:ser>
        <c:ser>
          <c:idx val="3"/>
          <c:order val="5"/>
          <c:tx>
            <c:strRef>
              <c:f>DRIAS_OMBRO!$A$14</c:f>
              <c:strCache>
                <c:ptCount val="1"/>
                <c:pt idx="0">
                  <c:v>2021-2050</c:v>
                </c:pt>
              </c:strCache>
            </c:strRef>
          </c:tx>
          <c:spPr>
            <a:ln w="28575" cap="rnd">
              <a:solidFill>
                <a:srgbClr val="FF5050"/>
              </a:solidFill>
              <a:round/>
            </a:ln>
            <a:effectLst/>
          </c:spPr>
          <c:marker>
            <c:symbol val="none"/>
          </c:marker>
          <c:val>
            <c:numRef>
              <c:f>DRIAS_OMBRO!$C$14:$C$25</c:f>
              <c:numCache>
                <c:formatCode>0</c:formatCode>
                <c:ptCount val="12"/>
                <c:pt idx="0">
                  <c:v>7.56</c:v>
                </c:pt>
                <c:pt idx="1">
                  <c:v>7.45</c:v>
                </c:pt>
                <c:pt idx="2">
                  <c:v>9.17</c:v>
                </c:pt>
                <c:pt idx="3">
                  <c:v>11.33</c:v>
                </c:pt>
                <c:pt idx="4">
                  <c:v>14.61</c:v>
                </c:pt>
                <c:pt idx="5">
                  <c:v>15.95</c:v>
                </c:pt>
                <c:pt idx="6">
                  <c:v>18.690000000000001</c:v>
                </c:pt>
                <c:pt idx="7">
                  <c:v>18.899999999999999</c:v>
                </c:pt>
                <c:pt idx="8">
                  <c:v>17.100000000000001</c:v>
                </c:pt>
                <c:pt idx="9">
                  <c:v>13.87</c:v>
                </c:pt>
                <c:pt idx="10">
                  <c:v>10.53</c:v>
                </c:pt>
                <c:pt idx="11">
                  <c:v>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9F-473A-A922-5CD4493D4DC2}"/>
            </c:ext>
          </c:extLst>
        </c:ser>
        <c:ser>
          <c:idx val="5"/>
          <c:order val="6"/>
          <c:tx>
            <c:strRef>
              <c:f>DRIAS_OMBRO!$A$26</c:f>
              <c:strCache>
                <c:ptCount val="1"/>
                <c:pt idx="0">
                  <c:v>2041-2070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none"/>
          </c:marker>
          <c:val>
            <c:numRef>
              <c:f>DRIAS_OMBRO!$C$26:$C$37</c:f>
              <c:numCache>
                <c:formatCode>0</c:formatCode>
                <c:ptCount val="12"/>
                <c:pt idx="0">
                  <c:v>8.01</c:v>
                </c:pt>
                <c:pt idx="1">
                  <c:v>7.98</c:v>
                </c:pt>
                <c:pt idx="2">
                  <c:v>10.48</c:v>
                </c:pt>
                <c:pt idx="3">
                  <c:v>12.01</c:v>
                </c:pt>
                <c:pt idx="4">
                  <c:v>14.99</c:v>
                </c:pt>
                <c:pt idx="5">
                  <c:v>16.95</c:v>
                </c:pt>
                <c:pt idx="6">
                  <c:v>19.71</c:v>
                </c:pt>
                <c:pt idx="7">
                  <c:v>20.11</c:v>
                </c:pt>
                <c:pt idx="8">
                  <c:v>18.260000000000002</c:v>
                </c:pt>
                <c:pt idx="9">
                  <c:v>14.77</c:v>
                </c:pt>
                <c:pt idx="10">
                  <c:v>11.67</c:v>
                </c:pt>
                <c:pt idx="11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9F-473A-A922-5CD4493D4DC2}"/>
            </c:ext>
          </c:extLst>
        </c:ser>
        <c:ser>
          <c:idx val="7"/>
          <c:order val="7"/>
          <c:tx>
            <c:strRef>
              <c:f>DRIAS_OMBRO!$A$38</c:f>
              <c:strCache>
                <c:ptCount val="1"/>
                <c:pt idx="0">
                  <c:v>2071-2100</c:v>
                </c:pt>
              </c:strCache>
            </c:strRef>
          </c:tx>
          <c:spPr>
            <a:ln w="28575" cap="rnd">
              <a:solidFill>
                <a:srgbClr val="800000"/>
              </a:solidFill>
              <a:round/>
            </a:ln>
            <a:effectLst/>
          </c:spPr>
          <c:marker>
            <c:symbol val="none"/>
          </c:marker>
          <c:val>
            <c:numRef>
              <c:f>DRIAS_OMBRO!$C$38:$C$49</c:f>
              <c:numCache>
                <c:formatCode>0</c:formatCode>
                <c:ptCount val="12"/>
                <c:pt idx="0">
                  <c:v>9.86</c:v>
                </c:pt>
                <c:pt idx="1">
                  <c:v>9.7899999999999991</c:v>
                </c:pt>
                <c:pt idx="2">
                  <c:v>10.96</c:v>
                </c:pt>
                <c:pt idx="3">
                  <c:v>13.44</c:v>
                </c:pt>
                <c:pt idx="4">
                  <c:v>16.93</c:v>
                </c:pt>
                <c:pt idx="5">
                  <c:v>18.18</c:v>
                </c:pt>
                <c:pt idx="6">
                  <c:v>20.8</c:v>
                </c:pt>
                <c:pt idx="7">
                  <c:v>21.61</c:v>
                </c:pt>
                <c:pt idx="8">
                  <c:v>20</c:v>
                </c:pt>
                <c:pt idx="9">
                  <c:v>16.37</c:v>
                </c:pt>
                <c:pt idx="10">
                  <c:v>13.24</c:v>
                </c:pt>
                <c:pt idx="11">
                  <c:v>10.58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4-4473-91EC-9DF6D01AC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543087"/>
        <c:axId val="899548255"/>
      </c:lineChart>
      <c:catAx>
        <c:axId val="89954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549695"/>
        <c:crosses val="autoZero"/>
        <c:auto val="1"/>
        <c:lblAlgn val="ctr"/>
        <c:lblOffset val="100"/>
        <c:noMultiLvlLbl val="0"/>
      </c:catAx>
      <c:valAx>
        <c:axId val="8995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Précipitation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546335"/>
        <c:crosses val="autoZero"/>
        <c:crossBetween val="between"/>
      </c:valAx>
      <c:valAx>
        <c:axId val="899548255"/>
        <c:scaling>
          <c:orientation val="minMax"/>
          <c:max val="6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3543087"/>
        <c:crosses val="max"/>
        <c:crossBetween val="between"/>
      </c:valAx>
      <c:catAx>
        <c:axId val="903543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95482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Diagramme de l'évolution</a:t>
            </a:r>
            <a:r>
              <a:rPr lang="fr-FR" baseline="0"/>
              <a:t> du bilan hydrique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DRIAS_ETP!$A$2</c:f>
              <c:strCache>
                <c:ptCount val="1"/>
                <c:pt idx="0">
                  <c:v>1976-2005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E-4E67-B9F5-F9CD0BAA0C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E-4E67-B9F5-F9CD0BAA0C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E-4E67-B9F5-F9CD0BAA0C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E-4E67-B9F5-F9CD0BAA0C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BDE-4E67-B9F5-F9CD0BAA0C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BDE-4E67-B9F5-F9CD0BAA0C5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BDE-4E67-B9F5-F9CD0BAA0C5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BDE-4E67-B9F5-F9CD0BAA0C5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BDE-4E67-B9F5-F9CD0BAA0C5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BDE-4E67-B9F5-F9CD0BAA0C5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BDE-4E67-B9F5-F9CD0BAA0C5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BDE-4E67-B9F5-F9CD0BAA0C53}"/>
              </c:ext>
            </c:extLst>
          </c:dPt>
          <c:cat>
            <c:strRef>
              <c:f>DRIAS_ETP!$F$2:$F$13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DRIAS_ETP!$E$2:$E$13</c:f>
              <c:numCache>
                <c:formatCode>0</c:formatCode>
                <c:ptCount val="12"/>
                <c:pt idx="0">
                  <c:v>95.16</c:v>
                </c:pt>
                <c:pt idx="1">
                  <c:v>55</c:v>
                </c:pt>
                <c:pt idx="2">
                  <c:v>41.21</c:v>
                </c:pt>
                <c:pt idx="3">
                  <c:v>17.690000000000001</c:v>
                </c:pt>
                <c:pt idx="4">
                  <c:v>-22.55</c:v>
                </c:pt>
                <c:pt idx="5">
                  <c:v>-36.54</c:v>
                </c:pt>
                <c:pt idx="6">
                  <c:v>-50.89</c:v>
                </c:pt>
                <c:pt idx="7">
                  <c:v>-38.44</c:v>
                </c:pt>
                <c:pt idx="8">
                  <c:v>12.91</c:v>
                </c:pt>
                <c:pt idx="9">
                  <c:v>61.35</c:v>
                </c:pt>
                <c:pt idx="10">
                  <c:v>86.92</c:v>
                </c:pt>
                <c:pt idx="11">
                  <c:v>104.49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DE-4E67-B9F5-F9CD0BAA0C53}"/>
            </c:ext>
          </c:extLst>
        </c:ser>
        <c:ser>
          <c:idx val="1"/>
          <c:order val="1"/>
          <c:tx>
            <c:strRef>
              <c:f>DRIAS_ETP!$A$14</c:f>
              <c:strCache>
                <c:ptCount val="1"/>
                <c:pt idx="0">
                  <c:v>2021-2050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BDE-4E67-B9F5-F9CD0BAA0C5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BDE-4E67-B9F5-F9CD0BAA0C5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1BDE-4E67-B9F5-F9CD0BAA0C5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1BDE-4E67-B9F5-F9CD0BAA0C5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1BDE-4E67-B9F5-F9CD0BAA0C5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1BDE-4E67-B9F5-F9CD0BAA0C53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1BDE-4E67-B9F5-F9CD0BAA0C53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1BDE-4E67-B9F5-F9CD0BAA0C53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1BDE-4E67-B9F5-F9CD0BAA0C53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1BDE-4E67-B9F5-F9CD0BAA0C53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1BDE-4E67-B9F5-F9CD0BAA0C53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1BDE-4E67-B9F5-F9CD0BAA0C53}"/>
              </c:ext>
            </c:extLst>
          </c:dPt>
          <c:cat>
            <c:strRef>
              <c:f>DRIAS_ETP!$F$2:$F$13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DRIAS_ETP!$E$14:$E$25</c:f>
              <c:numCache>
                <c:formatCode>0</c:formatCode>
                <c:ptCount val="12"/>
                <c:pt idx="0">
                  <c:v>106.84</c:v>
                </c:pt>
                <c:pt idx="1">
                  <c:v>78.14</c:v>
                </c:pt>
                <c:pt idx="2">
                  <c:v>58.79</c:v>
                </c:pt>
                <c:pt idx="3">
                  <c:v>12.47</c:v>
                </c:pt>
                <c:pt idx="4">
                  <c:v>-21.48</c:v>
                </c:pt>
                <c:pt idx="5">
                  <c:v>-30.21</c:v>
                </c:pt>
                <c:pt idx="6">
                  <c:v>-32.450000000000003</c:v>
                </c:pt>
                <c:pt idx="7">
                  <c:v>-41</c:v>
                </c:pt>
                <c:pt idx="8">
                  <c:v>-3.3300000000000098</c:v>
                </c:pt>
                <c:pt idx="9">
                  <c:v>77.290000000000006</c:v>
                </c:pt>
                <c:pt idx="10">
                  <c:v>87.56</c:v>
                </c:pt>
                <c:pt idx="11">
                  <c:v>92.27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BDE-4E67-B9F5-F9CD0BAA0C53}"/>
            </c:ext>
          </c:extLst>
        </c:ser>
        <c:ser>
          <c:idx val="2"/>
          <c:order val="2"/>
          <c:tx>
            <c:strRef>
              <c:f>DRIAS_ETP!$A$26</c:f>
              <c:strCache>
                <c:ptCount val="1"/>
                <c:pt idx="0">
                  <c:v>2041-2070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DRIAS_ETP!$E$26:$E$37</c:f>
              <c:numCache>
                <c:formatCode>0</c:formatCode>
                <c:ptCount val="12"/>
                <c:pt idx="0">
                  <c:v>100.45</c:v>
                </c:pt>
                <c:pt idx="1">
                  <c:v>80.459999999999994</c:v>
                </c:pt>
                <c:pt idx="2">
                  <c:v>50.34</c:v>
                </c:pt>
                <c:pt idx="3">
                  <c:v>8.64</c:v>
                </c:pt>
                <c:pt idx="4">
                  <c:v>-24.36</c:v>
                </c:pt>
                <c:pt idx="5">
                  <c:v>-51.64</c:v>
                </c:pt>
                <c:pt idx="6">
                  <c:v>-50.39</c:v>
                </c:pt>
                <c:pt idx="7">
                  <c:v>-42.92</c:v>
                </c:pt>
                <c:pt idx="8">
                  <c:v>-12.18</c:v>
                </c:pt>
                <c:pt idx="9">
                  <c:v>72.94</c:v>
                </c:pt>
                <c:pt idx="10">
                  <c:v>89.35</c:v>
                </c:pt>
                <c:pt idx="11">
                  <c:v>109.16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BDE-4E67-B9F5-F9CD0BAA0C53}"/>
            </c:ext>
          </c:extLst>
        </c:ser>
        <c:ser>
          <c:idx val="3"/>
          <c:order val="3"/>
          <c:tx>
            <c:strRef>
              <c:f>DRIAS_ETP!$A$38</c:f>
              <c:strCache>
                <c:ptCount val="1"/>
                <c:pt idx="0">
                  <c:v>2071-2100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DRIAS_ETP!$E$38:$E$49</c:f>
              <c:numCache>
                <c:formatCode>0</c:formatCode>
                <c:ptCount val="12"/>
                <c:pt idx="0">
                  <c:v>97.97</c:v>
                </c:pt>
                <c:pt idx="1">
                  <c:v>76.33</c:v>
                </c:pt>
                <c:pt idx="2">
                  <c:v>52.09</c:v>
                </c:pt>
                <c:pt idx="3">
                  <c:v>3.6000000000000099</c:v>
                </c:pt>
                <c:pt idx="4">
                  <c:v>-39.11</c:v>
                </c:pt>
                <c:pt idx="5">
                  <c:v>-50.54</c:v>
                </c:pt>
                <c:pt idx="6">
                  <c:v>-64.099999999999994</c:v>
                </c:pt>
                <c:pt idx="7">
                  <c:v>-46.9</c:v>
                </c:pt>
                <c:pt idx="8">
                  <c:v>-1.06</c:v>
                </c:pt>
                <c:pt idx="9">
                  <c:v>49.83</c:v>
                </c:pt>
                <c:pt idx="10">
                  <c:v>89.78</c:v>
                </c:pt>
                <c:pt idx="11">
                  <c:v>114.54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425-414C-8881-F439B63E3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610335"/>
        <c:axId val="908611295"/>
        <c:extLst/>
      </c:barChart>
      <c:catAx>
        <c:axId val="90861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611295"/>
        <c:crosses val="autoZero"/>
        <c:auto val="1"/>
        <c:lblAlgn val="ctr"/>
        <c:lblOffset val="100"/>
        <c:noMultiLvlLbl val="0"/>
      </c:catAx>
      <c:valAx>
        <c:axId val="90861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Bilan</a:t>
                </a:r>
                <a:r>
                  <a:rPr lang="fr-FR" baseline="0"/>
                  <a:t> hydrique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610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779145</xdr:colOff>
      <xdr:row>0</xdr:row>
      <xdr:rowOff>161925</xdr:rowOff>
    </xdr:from>
    <xdr:to>
      <xdr:col>16</xdr:col>
      <xdr:colOff>305811</xdr:colOff>
      <xdr:row>23</xdr:row>
      <xdr:rowOff>150942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C7EF9A-9DD7-46D3-8ABA-51011BEF6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11429</xdr:rowOff>
    </xdr:from>
    <xdr:to>
      <xdr:col>14</xdr:col>
      <xdr:colOff>779145</xdr:colOff>
      <xdr:row>24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A3045B-BE1C-4E96-9628-7FA094B9C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>
      <selection activeCell="I11" sqref="I11"/>
    </sheetView>
  </sheetViews>
  <sheetFormatPr baseColWidth="10" defaultRowHeight="14.4" x14ac:dyDescent="0.55000000000000004"/>
  <cols>
    <col min="1" max="1" width="11.62890625" style="1" bestFit="1" customWidth="1"/>
    <col min="2" max="2" width="56.5234375" style="1" bestFit="1" customWidth="1"/>
  </cols>
  <sheetData>
    <row r="1" spans="1:2" s="4" customFormat="1" x14ac:dyDescent="0.55000000000000004">
      <c r="A1" s="5" t="s">
        <v>77</v>
      </c>
      <c r="B1" s="5" t="s">
        <v>78</v>
      </c>
    </row>
    <row r="2" spans="1:2" x14ac:dyDescent="0.55000000000000004">
      <c r="A2" s="1" t="s">
        <v>6</v>
      </c>
      <c r="B2" s="1" t="s">
        <v>79</v>
      </c>
    </row>
    <row r="3" spans="1:2" x14ac:dyDescent="0.55000000000000004">
      <c r="A3" s="1" t="s">
        <v>7</v>
      </c>
      <c r="B3" s="1" t="s">
        <v>80</v>
      </c>
    </row>
    <row r="4" spans="1:2" x14ac:dyDescent="0.55000000000000004">
      <c r="A4" s="1" t="s">
        <v>8</v>
      </c>
      <c r="B4" s="1" t="s">
        <v>81</v>
      </c>
    </row>
    <row r="5" spans="1:2" x14ac:dyDescent="0.55000000000000004">
      <c r="A5" s="1" t="s">
        <v>9</v>
      </c>
      <c r="B5" s="1" t="s">
        <v>82</v>
      </c>
    </row>
    <row r="6" spans="1:2" x14ac:dyDescent="0.55000000000000004">
      <c r="A6" s="1" t="s">
        <v>10</v>
      </c>
      <c r="B6" s="1" t="s">
        <v>83</v>
      </c>
    </row>
    <row r="7" spans="1:2" x14ac:dyDescent="0.55000000000000004">
      <c r="A7" s="1" t="s">
        <v>11</v>
      </c>
      <c r="B7" s="1" t="s">
        <v>84</v>
      </c>
    </row>
    <row r="8" spans="1:2" x14ac:dyDescent="0.55000000000000004">
      <c r="A8" s="1" t="s">
        <v>12</v>
      </c>
      <c r="B8" s="1" t="s">
        <v>85</v>
      </c>
    </row>
    <row r="9" spans="1:2" x14ac:dyDescent="0.55000000000000004">
      <c r="A9" s="1" t="s">
        <v>13</v>
      </c>
      <c r="B9" s="1" t="s">
        <v>86</v>
      </c>
    </row>
    <row r="10" spans="1:2" x14ac:dyDescent="0.55000000000000004">
      <c r="A10" s="1" t="s">
        <v>14</v>
      </c>
      <c r="B10" s="1" t="s">
        <v>87</v>
      </c>
    </row>
    <row r="11" spans="1:2" x14ac:dyDescent="0.55000000000000004">
      <c r="A11" s="1" t="s">
        <v>15</v>
      </c>
      <c r="B11" s="1" t="s">
        <v>88</v>
      </c>
    </row>
    <row r="12" spans="1:2" x14ac:dyDescent="0.55000000000000004">
      <c r="A12" s="1" t="s">
        <v>16</v>
      </c>
      <c r="B12" s="1" t="s">
        <v>89</v>
      </c>
    </row>
    <row r="13" spans="1:2" x14ac:dyDescent="0.55000000000000004">
      <c r="A13" s="1" t="s">
        <v>17</v>
      </c>
      <c r="B13" s="1" t="s">
        <v>90</v>
      </c>
    </row>
    <row r="14" spans="1:2" x14ac:dyDescent="0.55000000000000004">
      <c r="A14" s="1" t="s">
        <v>18</v>
      </c>
      <c r="B14" s="1" t="s">
        <v>91</v>
      </c>
    </row>
    <row r="15" spans="1:2" x14ac:dyDescent="0.55000000000000004">
      <c r="A15" s="1" t="s">
        <v>19</v>
      </c>
      <c r="B15" s="1" t="s">
        <v>92</v>
      </c>
    </row>
    <row r="16" spans="1:2" x14ac:dyDescent="0.55000000000000004">
      <c r="A16" s="1" t="s">
        <v>20</v>
      </c>
      <c r="B16" s="1" t="s">
        <v>93</v>
      </c>
    </row>
    <row r="17" spans="1:2" x14ac:dyDescent="0.55000000000000004">
      <c r="A17" s="1" t="s">
        <v>21</v>
      </c>
      <c r="B17" s="1" t="s">
        <v>94</v>
      </c>
    </row>
    <row r="18" spans="1:2" x14ac:dyDescent="0.55000000000000004">
      <c r="A18" s="1" t="s">
        <v>22</v>
      </c>
      <c r="B18" s="1" t="s">
        <v>95</v>
      </c>
    </row>
    <row r="19" spans="1:2" x14ac:dyDescent="0.55000000000000004">
      <c r="A19" s="1" t="s">
        <v>23</v>
      </c>
      <c r="B19" s="1" t="s">
        <v>96</v>
      </c>
    </row>
    <row r="20" spans="1:2" x14ac:dyDescent="0.55000000000000004">
      <c r="A20" s="1" t="s">
        <v>24</v>
      </c>
      <c r="B20" s="1" t="s">
        <v>97</v>
      </c>
    </row>
    <row r="21" spans="1:2" x14ac:dyDescent="0.55000000000000004">
      <c r="A21" s="1" t="s">
        <v>25</v>
      </c>
      <c r="B21" s="1" t="s">
        <v>98</v>
      </c>
    </row>
    <row r="22" spans="1:2" x14ac:dyDescent="0.55000000000000004">
      <c r="A22" s="1" t="s">
        <v>26</v>
      </c>
      <c r="B22" s="1" t="s">
        <v>99</v>
      </c>
    </row>
    <row r="23" spans="1:2" x14ac:dyDescent="0.55000000000000004">
      <c r="A23" s="1" t="s">
        <v>27</v>
      </c>
      <c r="B23" s="1" t="s">
        <v>100</v>
      </c>
    </row>
    <row r="24" spans="1:2" x14ac:dyDescent="0.55000000000000004">
      <c r="A24" s="1" t="s">
        <v>28</v>
      </c>
      <c r="B24" s="1" t="s">
        <v>101</v>
      </c>
    </row>
    <row r="25" spans="1:2" x14ac:dyDescent="0.55000000000000004">
      <c r="A25" s="1" t="s">
        <v>29</v>
      </c>
      <c r="B25" s="1" t="s">
        <v>102</v>
      </c>
    </row>
    <row r="26" spans="1:2" x14ac:dyDescent="0.55000000000000004">
      <c r="A26" s="1" t="s">
        <v>30</v>
      </c>
      <c r="B26" s="1" t="s">
        <v>103</v>
      </c>
    </row>
    <row r="27" spans="1:2" x14ac:dyDescent="0.55000000000000004">
      <c r="A27" s="1" t="s">
        <v>31</v>
      </c>
      <c r="B27" s="1" t="s">
        <v>104</v>
      </c>
    </row>
    <row r="28" spans="1:2" x14ac:dyDescent="0.55000000000000004">
      <c r="A28" s="1" t="s">
        <v>32</v>
      </c>
      <c r="B28" s="1" t="s">
        <v>105</v>
      </c>
    </row>
    <row r="29" spans="1:2" x14ac:dyDescent="0.55000000000000004">
      <c r="A29" s="1" t="s">
        <v>33</v>
      </c>
      <c r="B29" s="1" t="s">
        <v>106</v>
      </c>
    </row>
    <row r="30" spans="1:2" x14ac:dyDescent="0.55000000000000004">
      <c r="A30" s="1" t="s">
        <v>34</v>
      </c>
      <c r="B30" s="1" t="s">
        <v>107</v>
      </c>
    </row>
    <row r="31" spans="1:2" x14ac:dyDescent="0.55000000000000004">
      <c r="A31" s="1" t="s">
        <v>35</v>
      </c>
      <c r="B31" s="1" t="s">
        <v>108</v>
      </c>
    </row>
    <row r="32" spans="1:2" x14ac:dyDescent="0.55000000000000004">
      <c r="A32" s="1" t="s">
        <v>36</v>
      </c>
      <c r="B32" s="1" t="s">
        <v>109</v>
      </c>
    </row>
    <row r="33" spans="1:2" x14ac:dyDescent="0.55000000000000004">
      <c r="A33" s="1" t="s">
        <v>37</v>
      </c>
      <c r="B33" s="1" t="s">
        <v>110</v>
      </c>
    </row>
    <row r="34" spans="1:2" x14ac:dyDescent="0.55000000000000004">
      <c r="A34" s="1" t="s">
        <v>38</v>
      </c>
      <c r="B34" s="1" t="s">
        <v>111</v>
      </c>
    </row>
    <row r="35" spans="1:2" x14ac:dyDescent="0.55000000000000004">
      <c r="A35" s="1" t="s">
        <v>39</v>
      </c>
      <c r="B35" s="1" t="s">
        <v>112</v>
      </c>
    </row>
    <row r="36" spans="1:2" x14ac:dyDescent="0.55000000000000004">
      <c r="A36" s="1" t="s">
        <v>40</v>
      </c>
      <c r="B36" s="1" t="s">
        <v>113</v>
      </c>
    </row>
    <row r="37" spans="1:2" x14ac:dyDescent="0.55000000000000004">
      <c r="A37" s="1" t="s">
        <v>41</v>
      </c>
      <c r="B37" s="1" t="s">
        <v>114</v>
      </c>
    </row>
    <row r="38" spans="1:2" x14ac:dyDescent="0.55000000000000004">
      <c r="A38" s="1" t="s">
        <v>42</v>
      </c>
      <c r="B38" s="1" t="s">
        <v>115</v>
      </c>
    </row>
    <row r="39" spans="1:2" x14ac:dyDescent="0.55000000000000004">
      <c r="A39" s="1" t="s">
        <v>43</v>
      </c>
      <c r="B39" s="1" t="s">
        <v>116</v>
      </c>
    </row>
    <row r="40" spans="1:2" x14ac:dyDescent="0.55000000000000004">
      <c r="A40" s="1" t="s">
        <v>44</v>
      </c>
      <c r="B40" s="1" t="s">
        <v>117</v>
      </c>
    </row>
    <row r="41" spans="1:2" x14ac:dyDescent="0.55000000000000004">
      <c r="A41" s="1" t="s">
        <v>45</v>
      </c>
      <c r="B41" s="1" t="s">
        <v>118</v>
      </c>
    </row>
    <row r="42" spans="1:2" x14ac:dyDescent="0.55000000000000004">
      <c r="A42" s="1" t="s">
        <v>46</v>
      </c>
      <c r="B42" s="1" t="s">
        <v>119</v>
      </c>
    </row>
    <row r="43" spans="1:2" x14ac:dyDescent="0.55000000000000004">
      <c r="A43" s="1" t="s">
        <v>47</v>
      </c>
      <c r="B43" s="1" t="s">
        <v>120</v>
      </c>
    </row>
    <row r="44" spans="1:2" x14ac:dyDescent="0.55000000000000004">
      <c r="A44" s="1" t="s">
        <v>48</v>
      </c>
      <c r="B44" s="1" t="s">
        <v>121</v>
      </c>
    </row>
    <row r="45" spans="1:2" x14ac:dyDescent="0.55000000000000004">
      <c r="A45" s="1" t="s">
        <v>49</v>
      </c>
      <c r="B45" s="1" t="s">
        <v>122</v>
      </c>
    </row>
    <row r="46" spans="1:2" x14ac:dyDescent="0.55000000000000004">
      <c r="A46" s="1" t="s">
        <v>50</v>
      </c>
      <c r="B46" s="1" t="s">
        <v>123</v>
      </c>
    </row>
    <row r="47" spans="1:2" x14ac:dyDescent="0.55000000000000004">
      <c r="A47" s="1" t="s">
        <v>51</v>
      </c>
      <c r="B47" s="1" t="s">
        <v>124</v>
      </c>
    </row>
    <row r="48" spans="1:2" x14ac:dyDescent="0.55000000000000004">
      <c r="A48" s="1" t="s">
        <v>52</v>
      </c>
      <c r="B48" s="1" t="s">
        <v>125</v>
      </c>
    </row>
    <row r="49" spans="1:2" x14ac:dyDescent="0.55000000000000004">
      <c r="A49" s="1" t="s">
        <v>53</v>
      </c>
      <c r="B49" s="1" t="s">
        <v>126</v>
      </c>
    </row>
    <row r="50" spans="1:2" x14ac:dyDescent="0.55000000000000004">
      <c r="A50" s="1" t="s">
        <v>54</v>
      </c>
      <c r="B50" s="1" t="s">
        <v>127</v>
      </c>
    </row>
    <row r="51" spans="1:2" x14ac:dyDescent="0.55000000000000004">
      <c r="A51" s="1" t="s">
        <v>55</v>
      </c>
      <c r="B51" s="1" t="s">
        <v>128</v>
      </c>
    </row>
    <row r="52" spans="1:2" x14ac:dyDescent="0.55000000000000004">
      <c r="A52" s="1" t="s">
        <v>56</v>
      </c>
      <c r="B52" s="1" t="s">
        <v>129</v>
      </c>
    </row>
    <row r="53" spans="1:2" x14ac:dyDescent="0.55000000000000004">
      <c r="A53" s="1" t="s">
        <v>57</v>
      </c>
      <c r="B53" s="1" t="s">
        <v>130</v>
      </c>
    </row>
    <row r="54" spans="1:2" x14ac:dyDescent="0.55000000000000004">
      <c r="A54" s="1" t="s">
        <v>58</v>
      </c>
      <c r="B54" s="1" t="s">
        <v>131</v>
      </c>
    </row>
    <row r="55" spans="1:2" x14ac:dyDescent="0.55000000000000004">
      <c r="A55" s="1" t="s">
        <v>59</v>
      </c>
      <c r="B55" s="1" t="s">
        <v>132</v>
      </c>
    </row>
    <row r="56" spans="1:2" x14ac:dyDescent="0.55000000000000004">
      <c r="A56" s="1" t="s">
        <v>60</v>
      </c>
      <c r="B56" s="1" t="s">
        <v>133</v>
      </c>
    </row>
    <row r="57" spans="1:2" x14ac:dyDescent="0.55000000000000004">
      <c r="A57" s="1" t="s">
        <v>61</v>
      </c>
      <c r="B57" s="1" t="s">
        <v>134</v>
      </c>
    </row>
    <row r="58" spans="1:2" x14ac:dyDescent="0.55000000000000004">
      <c r="A58" s="1" t="s">
        <v>62</v>
      </c>
      <c r="B58" s="1" t="s">
        <v>135</v>
      </c>
    </row>
    <row r="59" spans="1:2" x14ac:dyDescent="0.55000000000000004">
      <c r="A59" s="1" t="s">
        <v>63</v>
      </c>
      <c r="B59" s="1" t="s">
        <v>136</v>
      </c>
    </row>
    <row r="60" spans="1:2" x14ac:dyDescent="0.55000000000000004">
      <c r="A60" s="1" t="s">
        <v>64</v>
      </c>
      <c r="B60" s="1" t="s">
        <v>137</v>
      </c>
    </row>
    <row r="61" spans="1:2" x14ac:dyDescent="0.55000000000000004">
      <c r="A61" s="1" t="s">
        <v>65</v>
      </c>
      <c r="B61" s="1" t="s">
        <v>138</v>
      </c>
    </row>
    <row r="62" spans="1:2" x14ac:dyDescent="0.55000000000000004">
      <c r="A62" s="1" t="s">
        <v>66</v>
      </c>
      <c r="B62" s="1" t="s">
        <v>139</v>
      </c>
    </row>
    <row r="63" spans="1:2" x14ac:dyDescent="0.55000000000000004">
      <c r="A63" s="1" t="s">
        <v>67</v>
      </c>
      <c r="B63" s="1" t="s">
        <v>140</v>
      </c>
    </row>
    <row r="64" spans="1:2" x14ac:dyDescent="0.55000000000000004">
      <c r="A64" s="1" t="s">
        <v>68</v>
      </c>
      <c r="B64" s="1" t="s">
        <v>141</v>
      </c>
    </row>
    <row r="65" spans="1:2" x14ac:dyDescent="0.55000000000000004">
      <c r="A65" s="1" t="s">
        <v>69</v>
      </c>
      <c r="B65" s="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93"/>
  <sheetViews>
    <sheetView workbookViewId="0">
      <selection activeCell="J6" sqref="J6"/>
    </sheetView>
  </sheetViews>
  <sheetFormatPr baseColWidth="10" defaultRowHeight="14.4" x14ac:dyDescent="0.55000000000000004"/>
  <cols>
    <col min="1" max="16384" width="10.9453125" style="1"/>
  </cols>
  <sheetData>
    <row r="1" spans="1:35" s="3" customFormat="1" x14ac:dyDescent="0.55000000000000004">
      <c r="A1" s="3" t="s">
        <v>2</v>
      </c>
      <c r="B1" s="3" t="s">
        <v>3</v>
      </c>
      <c r="C1" s="3" t="s">
        <v>4</v>
      </c>
      <c r="D1" s="3" t="s">
        <v>5</v>
      </c>
      <c r="E1" s="3" t="s">
        <v>0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34</v>
      </c>
      <c r="AH1" s="3" t="s">
        <v>35</v>
      </c>
      <c r="AI1" s="3" t="s">
        <v>36</v>
      </c>
    </row>
    <row r="2" spans="1:35" x14ac:dyDescent="0.55000000000000004">
      <c r="A2" s="1">
        <v>12732</v>
      </c>
      <c r="B2" s="1">
        <v>47.769100000000002</v>
      </c>
      <c r="C2" s="1">
        <v>-4.3418000000000001</v>
      </c>
      <c r="D2" s="1">
        <v>1</v>
      </c>
      <c r="E2" s="1" t="s">
        <v>143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18.73</v>
      </c>
    </row>
    <row r="3" spans="1:35" x14ac:dyDescent="0.55000000000000004">
      <c r="A3" s="1">
        <v>12732</v>
      </c>
      <c r="B3" s="1">
        <v>47.769100000000002</v>
      </c>
      <c r="C3" s="1">
        <v>-4.3418000000000001</v>
      </c>
      <c r="D3" s="1">
        <v>2</v>
      </c>
      <c r="E3" s="1" t="s">
        <v>143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23.06</v>
      </c>
    </row>
    <row r="4" spans="1:35" x14ac:dyDescent="0.55000000000000004">
      <c r="A4" s="1">
        <v>12732</v>
      </c>
      <c r="B4" s="1">
        <v>47.769100000000002</v>
      </c>
      <c r="C4" s="1">
        <v>-4.3418000000000001</v>
      </c>
      <c r="D4" s="1">
        <v>3</v>
      </c>
      <c r="E4" s="1" t="s">
        <v>143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39.32</v>
      </c>
    </row>
    <row r="5" spans="1:35" x14ac:dyDescent="0.55000000000000004">
      <c r="A5" s="1">
        <v>12732</v>
      </c>
      <c r="B5" s="1">
        <v>47.769100000000002</v>
      </c>
      <c r="C5" s="1">
        <v>-4.3418000000000001</v>
      </c>
      <c r="D5" s="1">
        <v>4</v>
      </c>
      <c r="E5" s="1" t="s">
        <v>143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56.95</v>
      </c>
    </row>
    <row r="6" spans="1:35" x14ac:dyDescent="0.55000000000000004">
      <c r="A6" s="1">
        <v>12732</v>
      </c>
      <c r="B6" s="1">
        <v>47.769100000000002</v>
      </c>
      <c r="C6" s="1">
        <v>-4.3418000000000001</v>
      </c>
      <c r="D6" s="1">
        <v>5</v>
      </c>
      <c r="E6" s="1" t="s">
        <v>143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80.930000000000007</v>
      </c>
    </row>
    <row r="7" spans="1:35" x14ac:dyDescent="0.55000000000000004">
      <c r="A7" s="1">
        <v>12732</v>
      </c>
      <c r="B7" s="1">
        <v>47.769100000000002</v>
      </c>
      <c r="C7" s="1">
        <v>-4.3418000000000001</v>
      </c>
      <c r="D7" s="1">
        <v>6</v>
      </c>
      <c r="E7" s="1" t="s">
        <v>143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83.02</v>
      </c>
    </row>
    <row r="8" spans="1:35" x14ac:dyDescent="0.55000000000000004">
      <c r="A8" s="1">
        <v>12732</v>
      </c>
      <c r="B8" s="1">
        <v>47.769100000000002</v>
      </c>
      <c r="C8" s="1">
        <v>-4.3418000000000001</v>
      </c>
      <c r="D8" s="1">
        <v>7</v>
      </c>
      <c r="E8" s="1" t="s">
        <v>143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93.35</v>
      </c>
    </row>
    <row r="9" spans="1:35" x14ac:dyDescent="0.55000000000000004">
      <c r="A9" s="1">
        <v>12732</v>
      </c>
      <c r="B9" s="1">
        <v>47.769100000000002</v>
      </c>
      <c r="C9" s="1">
        <v>-4.3418000000000001</v>
      </c>
      <c r="D9" s="1">
        <v>8</v>
      </c>
      <c r="E9" s="1" t="s">
        <v>143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80.45</v>
      </c>
    </row>
    <row r="10" spans="1:35" x14ac:dyDescent="0.55000000000000004">
      <c r="A10" s="1">
        <v>12732</v>
      </c>
      <c r="B10" s="1">
        <v>47.769100000000002</v>
      </c>
      <c r="C10" s="1">
        <v>-4.3418000000000001</v>
      </c>
      <c r="D10" s="1">
        <v>9</v>
      </c>
      <c r="E10" s="1" t="s">
        <v>143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58.39</v>
      </c>
    </row>
    <row r="11" spans="1:35" x14ac:dyDescent="0.55000000000000004">
      <c r="A11" s="1">
        <v>12732</v>
      </c>
      <c r="B11" s="1">
        <v>47.769100000000002</v>
      </c>
      <c r="C11" s="1">
        <v>-4.3418000000000001</v>
      </c>
      <c r="D11" s="1">
        <v>10</v>
      </c>
      <c r="E11" s="1" t="s">
        <v>143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34.880000000000003</v>
      </c>
    </row>
    <row r="12" spans="1:35" x14ac:dyDescent="0.55000000000000004">
      <c r="A12" s="1">
        <v>12732</v>
      </c>
      <c r="B12" s="1">
        <v>47.769100000000002</v>
      </c>
      <c r="C12" s="1">
        <v>-4.3418000000000001</v>
      </c>
      <c r="D12" s="1">
        <v>11</v>
      </c>
      <c r="E12" s="1" t="s">
        <v>143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19.73</v>
      </c>
    </row>
    <row r="13" spans="1:35" x14ac:dyDescent="0.55000000000000004">
      <c r="A13" s="1">
        <v>12732</v>
      </c>
      <c r="B13" s="1">
        <v>47.769100000000002</v>
      </c>
      <c r="C13" s="1">
        <v>-4.3418000000000001</v>
      </c>
      <c r="D13" s="1">
        <v>12</v>
      </c>
      <c r="E13" s="1" t="s">
        <v>143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17</v>
      </c>
    </row>
    <row r="14" spans="1:35" x14ac:dyDescent="0.55000000000000004">
      <c r="A14" s="1">
        <v>12733</v>
      </c>
      <c r="B14" s="1">
        <v>47.775199999999998</v>
      </c>
      <c r="C14" s="1">
        <v>-4.2354000000000003</v>
      </c>
      <c r="D14" s="1">
        <v>1</v>
      </c>
      <c r="E14" s="1" t="s">
        <v>143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16.899999999999999</v>
      </c>
    </row>
    <row r="15" spans="1:35" x14ac:dyDescent="0.55000000000000004">
      <c r="A15" s="1">
        <v>12733</v>
      </c>
      <c r="B15" s="1">
        <v>47.775199999999998</v>
      </c>
      <c r="C15" s="1">
        <v>-4.2354000000000003</v>
      </c>
      <c r="D15" s="1">
        <v>2</v>
      </c>
      <c r="E15" s="1" t="s">
        <v>143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21.74</v>
      </c>
    </row>
    <row r="16" spans="1:35" x14ac:dyDescent="0.55000000000000004">
      <c r="A16" s="1">
        <v>12733</v>
      </c>
      <c r="B16" s="1">
        <v>47.775199999999998</v>
      </c>
      <c r="C16" s="1">
        <v>-4.2354000000000003</v>
      </c>
      <c r="D16" s="1">
        <v>3</v>
      </c>
      <c r="E16" s="1" t="s">
        <v>143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40.18</v>
      </c>
    </row>
    <row r="17" spans="1:35" x14ac:dyDescent="0.55000000000000004">
      <c r="A17" s="1">
        <v>12733</v>
      </c>
      <c r="B17" s="1">
        <v>47.775199999999998</v>
      </c>
      <c r="C17" s="1">
        <v>-4.2354000000000003</v>
      </c>
      <c r="D17" s="1">
        <v>4</v>
      </c>
      <c r="E17" s="1" t="s">
        <v>143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58.98</v>
      </c>
    </row>
    <row r="18" spans="1:35" x14ac:dyDescent="0.55000000000000004">
      <c r="A18" s="1">
        <v>12733</v>
      </c>
      <c r="B18" s="1">
        <v>47.775199999999998</v>
      </c>
      <c r="C18" s="1">
        <v>-4.2354000000000003</v>
      </c>
      <c r="D18" s="1">
        <v>5</v>
      </c>
      <c r="E18" s="1" t="s">
        <v>143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83.95</v>
      </c>
    </row>
    <row r="19" spans="1:35" x14ac:dyDescent="0.55000000000000004">
      <c r="A19" s="1">
        <v>12733</v>
      </c>
      <c r="B19" s="1">
        <v>47.775199999999998</v>
      </c>
      <c r="C19" s="1">
        <v>-4.2354000000000003</v>
      </c>
      <c r="D19" s="1">
        <v>6</v>
      </c>
      <c r="E19" s="1" t="s">
        <v>143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88.75</v>
      </c>
    </row>
    <row r="20" spans="1:35" x14ac:dyDescent="0.55000000000000004">
      <c r="A20" s="1">
        <v>12733</v>
      </c>
      <c r="B20" s="1">
        <v>47.775199999999998</v>
      </c>
      <c r="C20" s="1">
        <v>-4.2354000000000003</v>
      </c>
      <c r="D20" s="1">
        <v>7</v>
      </c>
      <c r="E20" s="1" t="s">
        <v>143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100</v>
      </c>
    </row>
    <row r="21" spans="1:35" x14ac:dyDescent="0.55000000000000004">
      <c r="A21" s="1">
        <v>12733</v>
      </c>
      <c r="B21" s="1">
        <v>47.775199999999998</v>
      </c>
      <c r="C21" s="1">
        <v>-4.2354000000000003</v>
      </c>
      <c r="D21" s="1">
        <v>8</v>
      </c>
      <c r="E21" s="1" t="s">
        <v>143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86.34</v>
      </c>
    </row>
    <row r="22" spans="1:35" x14ac:dyDescent="0.55000000000000004">
      <c r="A22" s="1">
        <v>12733</v>
      </c>
      <c r="B22" s="1">
        <v>47.775199999999998</v>
      </c>
      <c r="C22" s="1">
        <v>-4.2354000000000003</v>
      </c>
      <c r="D22" s="1">
        <v>9</v>
      </c>
      <c r="E22" s="1" t="s">
        <v>143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61.02</v>
      </c>
    </row>
    <row r="23" spans="1:35" x14ac:dyDescent="0.55000000000000004">
      <c r="A23" s="1">
        <v>12733</v>
      </c>
      <c r="B23" s="1">
        <v>47.775199999999998</v>
      </c>
      <c r="C23" s="1">
        <v>-4.2354000000000003</v>
      </c>
      <c r="D23" s="1">
        <v>10</v>
      </c>
      <c r="E23" s="1" t="s">
        <v>143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35.29</v>
      </c>
    </row>
    <row r="24" spans="1:35" x14ac:dyDescent="0.55000000000000004">
      <c r="A24" s="1">
        <v>12733</v>
      </c>
      <c r="B24" s="1">
        <v>47.775199999999998</v>
      </c>
      <c r="C24" s="1">
        <v>-4.2354000000000003</v>
      </c>
      <c r="D24" s="1">
        <v>11</v>
      </c>
      <c r="E24" s="1" t="s">
        <v>143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18.63</v>
      </c>
    </row>
    <row r="25" spans="1:35" x14ac:dyDescent="0.55000000000000004">
      <c r="A25" s="1">
        <v>12733</v>
      </c>
      <c r="B25" s="1">
        <v>47.775199999999998</v>
      </c>
      <c r="C25" s="1">
        <v>-4.2354000000000003</v>
      </c>
      <c r="D25" s="1">
        <v>12</v>
      </c>
      <c r="E25" s="1" t="s">
        <v>143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15.32</v>
      </c>
    </row>
    <row r="26" spans="1:35" x14ac:dyDescent="0.55000000000000004">
      <c r="A26" s="1">
        <v>12875</v>
      </c>
      <c r="B26" s="1">
        <v>47.840800000000002</v>
      </c>
      <c r="C26" s="1">
        <v>-4.3507999999999996</v>
      </c>
      <c r="D26" s="1">
        <v>1</v>
      </c>
      <c r="E26" s="1" t="s">
        <v>143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18.72</v>
      </c>
    </row>
    <row r="27" spans="1:35" x14ac:dyDescent="0.55000000000000004">
      <c r="A27" s="1">
        <v>12875</v>
      </c>
      <c r="B27" s="1">
        <v>47.840800000000002</v>
      </c>
      <c r="C27" s="1">
        <v>-4.3507999999999996</v>
      </c>
      <c r="D27" s="1">
        <v>2</v>
      </c>
      <c r="E27" s="1" t="s">
        <v>143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23.02</v>
      </c>
    </row>
    <row r="28" spans="1:35" x14ac:dyDescent="0.55000000000000004">
      <c r="A28" s="1">
        <v>12875</v>
      </c>
      <c r="B28" s="1">
        <v>47.840800000000002</v>
      </c>
      <c r="C28" s="1">
        <v>-4.3507999999999996</v>
      </c>
      <c r="D28" s="1">
        <v>3</v>
      </c>
      <c r="E28" s="1" t="s">
        <v>143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39.200000000000003</v>
      </c>
    </row>
    <row r="29" spans="1:35" x14ac:dyDescent="0.55000000000000004">
      <c r="A29" s="1">
        <v>12875</v>
      </c>
      <c r="B29" s="1">
        <v>47.840800000000002</v>
      </c>
      <c r="C29" s="1">
        <v>-4.3507999999999996</v>
      </c>
      <c r="D29" s="1">
        <v>4</v>
      </c>
      <c r="E29" s="1" t="s">
        <v>143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56.73</v>
      </c>
    </row>
    <row r="30" spans="1:35" x14ac:dyDescent="0.55000000000000004">
      <c r="A30" s="1">
        <v>12875</v>
      </c>
      <c r="B30" s="1">
        <v>47.840800000000002</v>
      </c>
      <c r="C30" s="1">
        <v>-4.3507999999999996</v>
      </c>
      <c r="D30" s="1">
        <v>5</v>
      </c>
      <c r="E30" s="1" t="s">
        <v>143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80.69</v>
      </c>
    </row>
    <row r="31" spans="1:35" x14ac:dyDescent="0.55000000000000004">
      <c r="A31" s="1">
        <v>12875</v>
      </c>
      <c r="B31" s="1">
        <v>47.840800000000002</v>
      </c>
      <c r="C31" s="1">
        <v>-4.3507999999999996</v>
      </c>
      <c r="D31" s="1">
        <v>6</v>
      </c>
      <c r="E31" s="1" t="s">
        <v>143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82.75</v>
      </c>
    </row>
    <row r="32" spans="1:35" x14ac:dyDescent="0.55000000000000004">
      <c r="A32" s="1">
        <v>12875</v>
      </c>
      <c r="B32" s="1">
        <v>47.840800000000002</v>
      </c>
      <c r="C32" s="1">
        <v>-4.3507999999999996</v>
      </c>
      <c r="D32" s="1">
        <v>7</v>
      </c>
      <c r="E32" s="1" t="s">
        <v>143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93.11</v>
      </c>
    </row>
    <row r="33" spans="1:35" x14ac:dyDescent="0.55000000000000004">
      <c r="A33" s="1">
        <v>12875</v>
      </c>
      <c r="B33" s="1">
        <v>47.840800000000002</v>
      </c>
      <c r="C33" s="1">
        <v>-4.3507999999999996</v>
      </c>
      <c r="D33" s="1">
        <v>8</v>
      </c>
      <c r="E33" s="1" t="s">
        <v>143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80.260000000000005</v>
      </c>
    </row>
    <row r="34" spans="1:35" x14ac:dyDescent="0.55000000000000004">
      <c r="A34" s="1">
        <v>12875</v>
      </c>
      <c r="B34" s="1">
        <v>47.840800000000002</v>
      </c>
      <c r="C34" s="1">
        <v>-4.3507999999999996</v>
      </c>
      <c r="D34" s="1">
        <v>9</v>
      </c>
      <c r="E34" s="1" t="s">
        <v>143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58.19</v>
      </c>
    </row>
    <row r="35" spans="1:35" x14ac:dyDescent="0.55000000000000004">
      <c r="A35" s="1">
        <v>12875</v>
      </c>
      <c r="B35" s="1">
        <v>47.840800000000002</v>
      </c>
      <c r="C35" s="1">
        <v>-4.3507999999999996</v>
      </c>
      <c r="D35" s="1">
        <v>10</v>
      </c>
      <c r="E35" s="1" t="s">
        <v>143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34.79</v>
      </c>
    </row>
    <row r="36" spans="1:35" x14ac:dyDescent="0.55000000000000004">
      <c r="A36" s="1">
        <v>12875</v>
      </c>
      <c r="B36" s="1">
        <v>47.840800000000002</v>
      </c>
      <c r="C36" s="1">
        <v>-4.3507999999999996</v>
      </c>
      <c r="D36" s="1">
        <v>11</v>
      </c>
      <c r="E36" s="1" t="s">
        <v>143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19.739999999999998</v>
      </c>
    </row>
    <row r="37" spans="1:35" x14ac:dyDescent="0.55000000000000004">
      <c r="A37" s="1">
        <v>12875</v>
      </c>
      <c r="B37" s="1">
        <v>47.840800000000002</v>
      </c>
      <c r="C37" s="1">
        <v>-4.3507999999999996</v>
      </c>
      <c r="D37" s="1">
        <v>12</v>
      </c>
      <c r="E37" s="1" t="s">
        <v>143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16.989999999999998</v>
      </c>
    </row>
    <row r="38" spans="1:35" x14ac:dyDescent="0.55000000000000004">
      <c r="A38" s="1">
        <v>12876</v>
      </c>
      <c r="B38" s="1">
        <v>47.846899999999998</v>
      </c>
      <c r="C38" s="1">
        <v>-4.2443</v>
      </c>
      <c r="D38" s="1">
        <v>1</v>
      </c>
      <c r="E38" s="1" t="s">
        <v>143</v>
      </c>
      <c r="F38" s="1">
        <v>6.68</v>
      </c>
      <c r="G38" s="1">
        <v>4.58</v>
      </c>
      <c r="H38" s="1">
        <v>8.77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4</v>
      </c>
      <c r="O38" s="1">
        <v>3</v>
      </c>
      <c r="P38" s="1">
        <v>0</v>
      </c>
      <c r="Q38" s="1">
        <v>0</v>
      </c>
      <c r="R38" s="1">
        <v>0</v>
      </c>
      <c r="S38" s="1">
        <v>4.1900000000000004</v>
      </c>
      <c r="T38" s="1">
        <v>11.89</v>
      </c>
      <c r="U38" s="1">
        <v>4.54</v>
      </c>
      <c r="V38" s="1">
        <v>-0.13</v>
      </c>
      <c r="W38" s="1">
        <v>8.77</v>
      </c>
      <c r="X38" s="1">
        <v>320.06</v>
      </c>
      <c r="Y38" s="1">
        <v>0</v>
      </c>
      <c r="Z38" s="1">
        <v>3.61</v>
      </c>
      <c r="AA38" s="1">
        <v>112.02</v>
      </c>
      <c r="AB38" s="1">
        <v>14.97</v>
      </c>
      <c r="AC38" s="1">
        <v>0</v>
      </c>
      <c r="AD38" s="1">
        <v>58.55</v>
      </c>
      <c r="AE38" s="1">
        <v>5</v>
      </c>
      <c r="AF38" s="1">
        <v>7</v>
      </c>
      <c r="AG38" s="1">
        <v>7.04</v>
      </c>
      <c r="AH38" s="1">
        <v>5.48</v>
      </c>
      <c r="AI38" s="1">
        <v>16.86</v>
      </c>
    </row>
    <row r="39" spans="1:35" x14ac:dyDescent="0.55000000000000004">
      <c r="A39" s="1">
        <v>12876</v>
      </c>
      <c r="B39" s="1">
        <v>47.846899999999998</v>
      </c>
      <c r="C39" s="1">
        <v>-4.2443</v>
      </c>
      <c r="D39" s="1">
        <v>2</v>
      </c>
      <c r="E39" s="1" t="s">
        <v>143</v>
      </c>
      <c r="F39" s="1">
        <v>6.67</v>
      </c>
      <c r="G39" s="1">
        <v>4.25</v>
      </c>
      <c r="H39" s="1">
        <v>9.09</v>
      </c>
      <c r="I39" s="1">
        <v>0</v>
      </c>
      <c r="J39" s="1">
        <v>0</v>
      </c>
      <c r="K39" s="1">
        <v>0</v>
      </c>
      <c r="L39" s="1">
        <v>2</v>
      </c>
      <c r="M39" s="1">
        <v>0</v>
      </c>
      <c r="N39" s="1">
        <v>3</v>
      </c>
      <c r="O39" s="1">
        <v>2</v>
      </c>
      <c r="P39" s="1">
        <v>0</v>
      </c>
      <c r="Q39" s="1">
        <v>0</v>
      </c>
      <c r="R39" s="1">
        <v>0</v>
      </c>
      <c r="S39" s="1">
        <v>4.84</v>
      </c>
      <c r="T39" s="1">
        <v>11.55</v>
      </c>
      <c r="U39" s="1">
        <v>5.64</v>
      </c>
      <c r="V39" s="1">
        <v>9.0000000000000094E-2</v>
      </c>
      <c r="W39" s="1">
        <v>8.0500000000000007</v>
      </c>
      <c r="X39" s="1">
        <v>292</v>
      </c>
      <c r="Y39" s="1">
        <v>0</v>
      </c>
      <c r="Z39" s="1">
        <v>2.71</v>
      </c>
      <c r="AA39" s="1">
        <v>76.64</v>
      </c>
      <c r="AB39" s="1">
        <v>10.87</v>
      </c>
      <c r="AC39" s="1">
        <v>0</v>
      </c>
      <c r="AD39" s="1">
        <v>55.86</v>
      </c>
      <c r="AE39" s="1">
        <v>4</v>
      </c>
      <c r="AF39" s="1">
        <v>9</v>
      </c>
      <c r="AG39" s="1">
        <v>6.65</v>
      </c>
      <c r="AH39" s="1">
        <v>5.35</v>
      </c>
      <c r="AI39" s="1">
        <v>21.64</v>
      </c>
    </row>
    <row r="40" spans="1:35" x14ac:dyDescent="0.55000000000000004">
      <c r="A40" s="1">
        <v>12876</v>
      </c>
      <c r="B40" s="1">
        <v>47.846899999999998</v>
      </c>
      <c r="C40" s="1">
        <v>-4.2443</v>
      </c>
      <c r="D40" s="1">
        <v>3</v>
      </c>
      <c r="E40" s="1" t="s">
        <v>143</v>
      </c>
      <c r="F40" s="1">
        <v>8.74</v>
      </c>
      <c r="G40" s="1">
        <v>5.96</v>
      </c>
      <c r="H40" s="1">
        <v>11.51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5.55</v>
      </c>
      <c r="T40" s="1">
        <v>14.65</v>
      </c>
      <c r="U40" s="1">
        <v>8.02</v>
      </c>
      <c r="V40" s="1">
        <v>1.88</v>
      </c>
      <c r="W40" s="1">
        <v>9.6</v>
      </c>
      <c r="X40" s="1">
        <v>256.20999999999998</v>
      </c>
      <c r="Y40" s="1">
        <v>0</v>
      </c>
      <c r="Z40" s="1">
        <v>2.62</v>
      </c>
      <c r="AA40" s="1">
        <v>81.180000000000007</v>
      </c>
      <c r="AB40" s="1">
        <v>13.1</v>
      </c>
      <c r="AC40" s="1">
        <v>0</v>
      </c>
      <c r="AD40" s="1">
        <v>46.22</v>
      </c>
      <c r="AE40" s="1">
        <v>5</v>
      </c>
      <c r="AF40" s="1">
        <v>9</v>
      </c>
      <c r="AG40" s="1">
        <v>5.73</v>
      </c>
      <c r="AH40" s="1">
        <v>5.98</v>
      </c>
      <c r="AI40" s="1">
        <v>39.97</v>
      </c>
    </row>
    <row r="41" spans="1:35" x14ac:dyDescent="0.55000000000000004">
      <c r="A41" s="1">
        <v>12876</v>
      </c>
      <c r="B41" s="1">
        <v>47.846899999999998</v>
      </c>
      <c r="C41" s="1">
        <v>-4.2443</v>
      </c>
      <c r="D41" s="1">
        <v>4</v>
      </c>
      <c r="E41" s="1" t="s">
        <v>143</v>
      </c>
      <c r="F41" s="1">
        <v>10.32</v>
      </c>
      <c r="G41" s="1">
        <v>7.18</v>
      </c>
      <c r="H41" s="1">
        <v>13.46</v>
      </c>
      <c r="I41" s="1">
        <v>0</v>
      </c>
      <c r="J41" s="1">
        <v>0</v>
      </c>
      <c r="K41" s="1">
        <v>2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6.28</v>
      </c>
      <c r="T41" s="1">
        <v>17.239999999999998</v>
      </c>
      <c r="U41" s="1">
        <v>9.94</v>
      </c>
      <c r="V41" s="1">
        <v>3.21</v>
      </c>
      <c r="W41" s="1">
        <v>10.57</v>
      </c>
      <c r="X41" s="1">
        <v>201.25</v>
      </c>
      <c r="Y41" s="1">
        <v>0.54</v>
      </c>
      <c r="Z41" s="1">
        <v>2.54</v>
      </c>
      <c r="AA41" s="1">
        <v>76.27</v>
      </c>
      <c r="AB41" s="1">
        <v>12.03</v>
      </c>
      <c r="AC41" s="1">
        <v>0</v>
      </c>
      <c r="AD41" s="1">
        <v>46.47</v>
      </c>
      <c r="AE41" s="1">
        <v>5</v>
      </c>
      <c r="AF41" s="1">
        <v>8</v>
      </c>
      <c r="AG41" s="1">
        <v>5.83</v>
      </c>
      <c r="AH41" s="1">
        <v>6.42</v>
      </c>
      <c r="AI41" s="1">
        <v>58.58</v>
      </c>
    </row>
    <row r="42" spans="1:35" x14ac:dyDescent="0.55000000000000004">
      <c r="A42" s="1">
        <v>12876</v>
      </c>
      <c r="B42" s="1">
        <v>47.846899999999998</v>
      </c>
      <c r="C42" s="1">
        <v>-4.2443</v>
      </c>
      <c r="D42" s="1">
        <v>5</v>
      </c>
      <c r="E42" s="1" t="s">
        <v>143</v>
      </c>
      <c r="F42" s="1">
        <v>13.31</v>
      </c>
      <c r="G42" s="1">
        <v>10.07</v>
      </c>
      <c r="H42" s="1">
        <v>16.55</v>
      </c>
      <c r="I42" s="1">
        <v>1</v>
      </c>
      <c r="J42" s="1">
        <v>0</v>
      </c>
      <c r="K42" s="1">
        <v>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6.48</v>
      </c>
      <c r="T42" s="1">
        <v>20.48</v>
      </c>
      <c r="U42" s="1">
        <v>13.01</v>
      </c>
      <c r="V42" s="1">
        <v>6.75</v>
      </c>
      <c r="W42" s="1">
        <v>12.96</v>
      </c>
      <c r="X42" s="1">
        <v>119.16</v>
      </c>
      <c r="Y42" s="1">
        <v>2.5</v>
      </c>
      <c r="Z42" s="1">
        <v>1.96</v>
      </c>
      <c r="AA42" s="1">
        <v>60.85</v>
      </c>
      <c r="AB42" s="1">
        <v>10.17</v>
      </c>
      <c r="AC42" s="1">
        <v>0</v>
      </c>
      <c r="AD42" s="1">
        <v>43.08</v>
      </c>
      <c r="AE42" s="1">
        <v>3</v>
      </c>
      <c r="AF42" s="1">
        <v>9</v>
      </c>
      <c r="AG42" s="1">
        <v>5.48</v>
      </c>
      <c r="AH42" s="1">
        <v>7.56</v>
      </c>
      <c r="AI42" s="1">
        <v>83.4</v>
      </c>
    </row>
    <row r="43" spans="1:35" x14ac:dyDescent="0.55000000000000004">
      <c r="A43" s="1">
        <v>12876</v>
      </c>
      <c r="B43" s="1">
        <v>47.846899999999998</v>
      </c>
      <c r="C43" s="1">
        <v>-4.2443</v>
      </c>
      <c r="D43" s="1">
        <v>6</v>
      </c>
      <c r="E43" s="1" t="s">
        <v>143</v>
      </c>
      <c r="F43" s="1">
        <v>15.46</v>
      </c>
      <c r="G43" s="1">
        <v>12.18</v>
      </c>
      <c r="H43" s="1">
        <v>18.73</v>
      </c>
      <c r="I43" s="1">
        <v>2</v>
      </c>
      <c r="J43" s="1">
        <v>0</v>
      </c>
      <c r="K43" s="1">
        <v>3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6.55</v>
      </c>
      <c r="T43" s="1">
        <v>23.13</v>
      </c>
      <c r="U43" s="1">
        <v>15.43</v>
      </c>
      <c r="V43" s="1">
        <v>9.84</v>
      </c>
      <c r="W43" s="1">
        <v>14.54</v>
      </c>
      <c r="X43" s="1">
        <v>61.06</v>
      </c>
      <c r="Y43" s="1">
        <v>9.24</v>
      </c>
      <c r="Z43" s="1">
        <v>1.72</v>
      </c>
      <c r="AA43" s="1">
        <v>51.6</v>
      </c>
      <c r="AB43" s="1">
        <v>8.3000000000000007</v>
      </c>
      <c r="AC43" s="1">
        <v>0</v>
      </c>
      <c r="AD43" s="1">
        <v>41.76</v>
      </c>
      <c r="AE43" s="1">
        <v>3</v>
      </c>
      <c r="AF43" s="1">
        <v>9</v>
      </c>
      <c r="AG43" s="1">
        <v>5.63</v>
      </c>
      <c r="AH43" s="1">
        <v>9.1199999999999992</v>
      </c>
      <c r="AI43" s="1">
        <v>88.14</v>
      </c>
    </row>
    <row r="44" spans="1:35" x14ac:dyDescent="0.55000000000000004">
      <c r="A44" s="1">
        <v>12876</v>
      </c>
      <c r="B44" s="1">
        <v>47.846899999999998</v>
      </c>
      <c r="C44" s="1">
        <v>-4.2443</v>
      </c>
      <c r="D44" s="1">
        <v>7</v>
      </c>
      <c r="E44" s="1" t="s">
        <v>143</v>
      </c>
      <c r="F44" s="1">
        <v>18.170000000000002</v>
      </c>
      <c r="G44" s="1">
        <v>14.78</v>
      </c>
      <c r="H44" s="1">
        <v>21.55</v>
      </c>
      <c r="I44" s="1">
        <v>4</v>
      </c>
      <c r="J44" s="1">
        <v>0.03</v>
      </c>
      <c r="K44" s="1">
        <v>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6.77</v>
      </c>
      <c r="T44" s="1">
        <v>25.42</v>
      </c>
      <c r="U44" s="1">
        <v>18.11</v>
      </c>
      <c r="V44" s="1">
        <v>12.51</v>
      </c>
      <c r="W44" s="1">
        <v>16.850000000000001</v>
      </c>
      <c r="X44" s="1">
        <v>12.75</v>
      </c>
      <c r="Y44" s="1">
        <v>31.67</v>
      </c>
      <c r="Z44" s="1">
        <v>1.57</v>
      </c>
      <c r="AA44" s="1">
        <v>48.61</v>
      </c>
      <c r="AB44" s="1">
        <v>7.87</v>
      </c>
      <c r="AC44" s="1">
        <v>0</v>
      </c>
      <c r="AD44" s="1">
        <v>49.49</v>
      </c>
      <c r="AE44" s="1">
        <v>2</v>
      </c>
      <c r="AF44" s="1">
        <v>11</v>
      </c>
      <c r="AG44" s="1">
        <v>5.77</v>
      </c>
      <c r="AH44" s="1">
        <v>10.47</v>
      </c>
      <c r="AI44" s="1">
        <v>99.5</v>
      </c>
    </row>
    <row r="45" spans="1:35" x14ac:dyDescent="0.55000000000000004">
      <c r="A45" s="1">
        <v>12876</v>
      </c>
      <c r="B45" s="1">
        <v>47.846899999999998</v>
      </c>
      <c r="C45" s="1">
        <v>-4.2443</v>
      </c>
      <c r="D45" s="1">
        <v>8</v>
      </c>
      <c r="E45" s="1" t="s">
        <v>143</v>
      </c>
      <c r="F45" s="1">
        <v>18.3</v>
      </c>
      <c r="G45" s="1">
        <v>14.88</v>
      </c>
      <c r="H45" s="1">
        <v>21.72</v>
      </c>
      <c r="I45" s="1">
        <v>4</v>
      </c>
      <c r="J45" s="1">
        <v>0</v>
      </c>
      <c r="K45" s="1">
        <v>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6.84</v>
      </c>
      <c r="T45" s="1">
        <v>24.95</v>
      </c>
      <c r="U45" s="1">
        <v>18.73</v>
      </c>
      <c r="V45" s="1">
        <v>12.53</v>
      </c>
      <c r="W45" s="1">
        <v>16.86</v>
      </c>
      <c r="X45" s="1">
        <v>9.51</v>
      </c>
      <c r="Y45" s="1">
        <v>31.22</v>
      </c>
      <c r="Z45" s="1">
        <v>1.53</v>
      </c>
      <c r="AA45" s="1">
        <v>47.5</v>
      </c>
      <c r="AB45" s="1">
        <v>8</v>
      </c>
      <c r="AC45" s="1">
        <v>0</v>
      </c>
      <c r="AD45" s="1">
        <v>36.4</v>
      </c>
      <c r="AE45" s="1">
        <v>3</v>
      </c>
      <c r="AF45" s="1">
        <v>13</v>
      </c>
      <c r="AG45" s="1">
        <v>5.45</v>
      </c>
      <c r="AH45" s="1">
        <v>10.69</v>
      </c>
      <c r="AI45" s="1">
        <v>85.94</v>
      </c>
    </row>
    <row r="46" spans="1:35" x14ac:dyDescent="0.55000000000000004">
      <c r="A46" s="1">
        <v>12876</v>
      </c>
      <c r="B46" s="1">
        <v>47.846899999999998</v>
      </c>
      <c r="C46" s="1">
        <v>-4.2443</v>
      </c>
      <c r="D46" s="1">
        <v>9</v>
      </c>
      <c r="E46" s="1" t="s">
        <v>143</v>
      </c>
      <c r="F46" s="1">
        <v>16.18</v>
      </c>
      <c r="G46" s="1">
        <v>12.77</v>
      </c>
      <c r="H46" s="1">
        <v>19.59</v>
      </c>
      <c r="I46" s="1">
        <v>2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6.82</v>
      </c>
      <c r="T46" s="1">
        <v>22.83</v>
      </c>
      <c r="U46" s="1">
        <v>16.62</v>
      </c>
      <c r="V46" s="1">
        <v>9.75</v>
      </c>
      <c r="W46" s="1">
        <v>15.18</v>
      </c>
      <c r="X46" s="1">
        <v>41.85</v>
      </c>
      <c r="Y46" s="1">
        <v>9.7100000000000009</v>
      </c>
      <c r="Z46" s="1">
        <v>2.4500000000000002</v>
      </c>
      <c r="AA46" s="1">
        <v>73.52</v>
      </c>
      <c r="AB46" s="1">
        <v>10.33</v>
      </c>
      <c r="AC46" s="1">
        <v>0</v>
      </c>
      <c r="AD46" s="1">
        <v>50.77</v>
      </c>
      <c r="AE46" s="1">
        <v>4</v>
      </c>
      <c r="AF46" s="1">
        <v>10</v>
      </c>
      <c r="AG46" s="1">
        <v>6.67</v>
      </c>
      <c r="AH46" s="1">
        <v>9.39</v>
      </c>
      <c r="AI46" s="1">
        <v>60.61</v>
      </c>
    </row>
    <row r="47" spans="1:35" x14ac:dyDescent="0.55000000000000004">
      <c r="A47" s="1">
        <v>12876</v>
      </c>
      <c r="B47" s="1">
        <v>47.846899999999998</v>
      </c>
      <c r="C47" s="1">
        <v>-4.2443</v>
      </c>
      <c r="D47" s="1">
        <v>10</v>
      </c>
      <c r="E47" s="1" t="s">
        <v>143</v>
      </c>
      <c r="F47" s="1">
        <v>13</v>
      </c>
      <c r="G47" s="1">
        <v>10.14</v>
      </c>
      <c r="H47" s="1">
        <v>15.87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5.73</v>
      </c>
      <c r="T47" s="1">
        <v>18.77</v>
      </c>
      <c r="U47" s="1">
        <v>12.76</v>
      </c>
      <c r="V47" s="1">
        <v>6.23</v>
      </c>
      <c r="W47" s="1">
        <v>13.34</v>
      </c>
      <c r="X47" s="1">
        <v>125.29</v>
      </c>
      <c r="Y47" s="1">
        <v>0.32</v>
      </c>
      <c r="Z47" s="1">
        <v>3.11</v>
      </c>
      <c r="AA47" s="1">
        <v>96.45</v>
      </c>
      <c r="AB47" s="1">
        <v>13.03</v>
      </c>
      <c r="AC47" s="1">
        <v>0</v>
      </c>
      <c r="AD47" s="1">
        <v>59.41</v>
      </c>
      <c r="AE47" s="1">
        <v>5</v>
      </c>
      <c r="AF47" s="1">
        <v>8</v>
      </c>
      <c r="AG47" s="1">
        <v>7.05</v>
      </c>
      <c r="AH47" s="1">
        <v>8.06</v>
      </c>
      <c r="AI47" s="1">
        <v>35.1</v>
      </c>
    </row>
    <row r="48" spans="1:35" x14ac:dyDescent="0.55000000000000004">
      <c r="A48" s="1">
        <v>12876</v>
      </c>
      <c r="B48" s="1">
        <v>47.846899999999998</v>
      </c>
      <c r="C48" s="1">
        <v>-4.2443</v>
      </c>
      <c r="D48" s="1">
        <v>11</v>
      </c>
      <c r="E48" s="1" t="s">
        <v>143</v>
      </c>
      <c r="F48" s="1">
        <v>9.64</v>
      </c>
      <c r="G48" s="1">
        <v>7.13</v>
      </c>
      <c r="H48" s="1">
        <v>12.15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</v>
      </c>
      <c r="P48" s="1">
        <v>0</v>
      </c>
      <c r="Q48" s="1">
        <v>0</v>
      </c>
      <c r="R48" s="1">
        <v>0</v>
      </c>
      <c r="S48" s="1">
        <v>5.0199999999999996</v>
      </c>
      <c r="T48" s="1">
        <v>15.18</v>
      </c>
      <c r="U48" s="1">
        <v>8.1300000000000008</v>
      </c>
      <c r="V48" s="1">
        <v>2.4</v>
      </c>
      <c r="W48" s="1">
        <v>10.92</v>
      </c>
      <c r="X48" s="1">
        <v>220.88</v>
      </c>
      <c r="Y48" s="1">
        <v>0</v>
      </c>
      <c r="Z48" s="1">
        <v>3.52</v>
      </c>
      <c r="AA48" s="1">
        <v>105.5</v>
      </c>
      <c r="AB48" s="1">
        <v>13.83</v>
      </c>
      <c r="AC48" s="1">
        <v>0</v>
      </c>
      <c r="AD48" s="1">
        <v>62.78</v>
      </c>
      <c r="AE48" s="1">
        <v>5</v>
      </c>
      <c r="AF48" s="1">
        <v>7</v>
      </c>
      <c r="AG48" s="1">
        <v>7.28</v>
      </c>
      <c r="AH48" s="1">
        <v>6.7</v>
      </c>
      <c r="AI48" s="1">
        <v>18.579999999999998</v>
      </c>
    </row>
    <row r="49" spans="1:35" x14ac:dyDescent="0.55000000000000004">
      <c r="A49" s="1">
        <v>12876</v>
      </c>
      <c r="B49" s="1">
        <v>47.846899999999998</v>
      </c>
      <c r="C49" s="1">
        <v>-4.2443</v>
      </c>
      <c r="D49" s="1">
        <v>12</v>
      </c>
      <c r="E49" s="1" t="s">
        <v>143</v>
      </c>
      <c r="F49" s="1">
        <v>7.83</v>
      </c>
      <c r="G49" s="1">
        <v>5.87</v>
      </c>
      <c r="H49" s="1">
        <v>9.7899999999999991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2</v>
      </c>
      <c r="O49" s="1">
        <v>3</v>
      </c>
      <c r="P49" s="1">
        <v>0</v>
      </c>
      <c r="Q49" s="1">
        <v>0</v>
      </c>
      <c r="R49" s="1">
        <v>0</v>
      </c>
      <c r="S49" s="1">
        <v>3.92</v>
      </c>
      <c r="T49" s="1">
        <v>12.6</v>
      </c>
      <c r="U49" s="1">
        <v>5.51</v>
      </c>
      <c r="V49" s="1">
        <v>0.78</v>
      </c>
      <c r="W49" s="1">
        <v>9.94</v>
      </c>
      <c r="X49" s="1">
        <v>284.27999999999997</v>
      </c>
      <c r="Y49" s="1">
        <v>0</v>
      </c>
      <c r="Z49" s="1">
        <v>3.86</v>
      </c>
      <c r="AA49" s="1">
        <v>119.76</v>
      </c>
      <c r="AB49" s="1">
        <v>15.43</v>
      </c>
      <c r="AC49" s="1">
        <v>0</v>
      </c>
      <c r="AD49" s="1">
        <v>56.41</v>
      </c>
      <c r="AE49" s="1">
        <v>6</v>
      </c>
      <c r="AF49" s="1">
        <v>6</v>
      </c>
      <c r="AG49" s="1">
        <v>7.35</v>
      </c>
      <c r="AH49" s="1">
        <v>5.99</v>
      </c>
      <c r="AI49" s="1">
        <v>15.27</v>
      </c>
    </row>
    <row r="50" spans="1:35" x14ac:dyDescent="0.55000000000000004">
      <c r="A50" s="1">
        <v>12732</v>
      </c>
      <c r="B50" s="1">
        <v>47.769100000000002</v>
      </c>
      <c r="C50" s="1">
        <v>-4.3418000000000001</v>
      </c>
      <c r="D50" s="1">
        <v>1</v>
      </c>
      <c r="E50" s="1" t="s">
        <v>70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18.89</v>
      </c>
    </row>
    <row r="51" spans="1:35" x14ac:dyDescent="0.55000000000000004">
      <c r="A51" s="1">
        <v>12732</v>
      </c>
      <c r="B51" s="1">
        <v>47.769100000000002</v>
      </c>
      <c r="C51" s="1">
        <v>-4.3418000000000001</v>
      </c>
      <c r="D51" s="1">
        <v>2</v>
      </c>
      <c r="E51" s="1" t="s">
        <v>70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23.57</v>
      </c>
    </row>
    <row r="52" spans="1:35" x14ac:dyDescent="0.55000000000000004">
      <c r="A52" s="1">
        <v>12732</v>
      </c>
      <c r="B52" s="1">
        <v>47.769100000000002</v>
      </c>
      <c r="C52" s="1">
        <v>-4.3418000000000001</v>
      </c>
      <c r="D52" s="1">
        <v>3</v>
      </c>
      <c r="E52" s="1" t="s">
        <v>70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39.479999999999997</v>
      </c>
    </row>
    <row r="53" spans="1:35" x14ac:dyDescent="0.55000000000000004">
      <c r="A53" s="1">
        <v>12732</v>
      </c>
      <c r="B53" s="1">
        <v>47.769100000000002</v>
      </c>
      <c r="C53" s="1">
        <v>-4.3418000000000001</v>
      </c>
      <c r="D53" s="1">
        <v>4</v>
      </c>
      <c r="E53" s="1" t="s">
        <v>70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59.63</v>
      </c>
    </row>
    <row r="54" spans="1:35" x14ac:dyDescent="0.55000000000000004">
      <c r="A54" s="1">
        <v>12732</v>
      </c>
      <c r="B54" s="1">
        <v>47.769100000000002</v>
      </c>
      <c r="C54" s="1">
        <v>-4.3418000000000001</v>
      </c>
      <c r="D54" s="1">
        <v>5</v>
      </c>
      <c r="E54" s="1" t="s">
        <v>70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87.22</v>
      </c>
    </row>
    <row r="55" spans="1:35" x14ac:dyDescent="0.55000000000000004">
      <c r="A55" s="1">
        <v>12732</v>
      </c>
      <c r="B55" s="1">
        <v>47.769100000000002</v>
      </c>
      <c r="C55" s="1">
        <v>-4.3418000000000001</v>
      </c>
      <c r="D55" s="1">
        <v>6</v>
      </c>
      <c r="E55" s="1" t="s">
        <v>70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83.04</v>
      </c>
    </row>
    <row r="56" spans="1:35" x14ac:dyDescent="0.55000000000000004">
      <c r="A56" s="1">
        <v>12732</v>
      </c>
      <c r="B56" s="1">
        <v>47.769100000000002</v>
      </c>
      <c r="C56" s="1">
        <v>-4.3418000000000001</v>
      </c>
      <c r="D56" s="1">
        <v>7</v>
      </c>
      <c r="E56" s="1" t="s">
        <v>70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93.25</v>
      </c>
    </row>
    <row r="57" spans="1:35" x14ac:dyDescent="0.55000000000000004">
      <c r="A57" s="1">
        <v>12732</v>
      </c>
      <c r="B57" s="1">
        <v>47.769100000000002</v>
      </c>
      <c r="C57" s="1">
        <v>-4.3418000000000001</v>
      </c>
      <c r="D57" s="1">
        <v>8</v>
      </c>
      <c r="E57" s="1" t="s">
        <v>70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80.34</v>
      </c>
    </row>
    <row r="58" spans="1:35" x14ac:dyDescent="0.55000000000000004">
      <c r="A58" s="1">
        <v>12732</v>
      </c>
      <c r="B58" s="1">
        <v>47.769100000000002</v>
      </c>
      <c r="C58" s="1">
        <v>-4.3418000000000001</v>
      </c>
      <c r="D58" s="1">
        <v>9</v>
      </c>
      <c r="E58" s="1" t="s">
        <v>70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62.58</v>
      </c>
    </row>
    <row r="59" spans="1:35" x14ac:dyDescent="0.55000000000000004">
      <c r="A59" s="1">
        <v>12732</v>
      </c>
      <c r="B59" s="1">
        <v>47.769100000000002</v>
      </c>
      <c r="C59" s="1">
        <v>-4.3418000000000001</v>
      </c>
      <c r="D59" s="1">
        <v>10</v>
      </c>
      <c r="E59" s="1" t="s">
        <v>70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36.35</v>
      </c>
    </row>
    <row r="60" spans="1:35" x14ac:dyDescent="0.55000000000000004">
      <c r="A60" s="1">
        <v>12732</v>
      </c>
      <c r="B60" s="1">
        <v>47.769100000000002</v>
      </c>
      <c r="C60" s="1">
        <v>-4.3418000000000001</v>
      </c>
      <c r="D60" s="1">
        <v>11</v>
      </c>
      <c r="E60" s="1" t="s">
        <v>70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20.32</v>
      </c>
    </row>
    <row r="61" spans="1:35" x14ac:dyDescent="0.55000000000000004">
      <c r="A61" s="1">
        <v>12732</v>
      </c>
      <c r="B61" s="1">
        <v>47.769100000000002</v>
      </c>
      <c r="C61" s="1">
        <v>-4.3418000000000001</v>
      </c>
      <c r="D61" s="1">
        <v>12</v>
      </c>
      <c r="E61" s="1" t="s">
        <v>70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16.989999999999998</v>
      </c>
    </row>
    <row r="62" spans="1:35" x14ac:dyDescent="0.55000000000000004">
      <c r="A62" s="1">
        <v>12733</v>
      </c>
      <c r="B62" s="1">
        <v>47.775199999999998</v>
      </c>
      <c r="C62" s="1">
        <v>-4.2354000000000003</v>
      </c>
      <c r="D62" s="1">
        <v>1</v>
      </c>
      <c r="E62" s="1" t="s">
        <v>70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17.239999999999998</v>
      </c>
    </row>
    <row r="63" spans="1:35" x14ac:dyDescent="0.55000000000000004">
      <c r="A63" s="1">
        <v>12733</v>
      </c>
      <c r="B63" s="1">
        <v>47.775199999999998</v>
      </c>
      <c r="C63" s="1">
        <v>-4.2354000000000003</v>
      </c>
      <c r="D63" s="1">
        <v>2</v>
      </c>
      <c r="E63" s="1" t="s">
        <v>70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22.49</v>
      </c>
    </row>
    <row r="64" spans="1:35" x14ac:dyDescent="0.55000000000000004">
      <c r="A64" s="1">
        <v>12733</v>
      </c>
      <c r="B64" s="1">
        <v>47.775199999999998</v>
      </c>
      <c r="C64" s="1">
        <v>-4.2354000000000003</v>
      </c>
      <c r="D64" s="1">
        <v>3</v>
      </c>
      <c r="E64" s="1" t="s">
        <v>70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40.49</v>
      </c>
    </row>
    <row r="65" spans="1:35" x14ac:dyDescent="0.55000000000000004">
      <c r="A65" s="1">
        <v>12733</v>
      </c>
      <c r="B65" s="1">
        <v>47.775199999999998</v>
      </c>
      <c r="C65" s="1">
        <v>-4.2354000000000003</v>
      </c>
      <c r="D65" s="1">
        <v>4</v>
      </c>
      <c r="E65" s="1" t="s">
        <v>70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61.77</v>
      </c>
    </row>
    <row r="66" spans="1:35" x14ac:dyDescent="0.55000000000000004">
      <c r="A66" s="1">
        <v>12733</v>
      </c>
      <c r="B66" s="1">
        <v>47.775199999999998</v>
      </c>
      <c r="C66" s="1">
        <v>-4.2354000000000003</v>
      </c>
      <c r="D66" s="1">
        <v>5</v>
      </c>
      <c r="E66" s="1" t="s">
        <v>70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90.02</v>
      </c>
    </row>
    <row r="67" spans="1:35" x14ac:dyDescent="0.55000000000000004">
      <c r="A67" s="1">
        <v>12733</v>
      </c>
      <c r="B67" s="1">
        <v>47.775199999999998</v>
      </c>
      <c r="C67" s="1">
        <v>-4.2354000000000003</v>
      </c>
      <c r="D67" s="1">
        <v>6</v>
      </c>
      <c r="E67" s="1" t="s">
        <v>70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89.15</v>
      </c>
    </row>
    <row r="68" spans="1:35" x14ac:dyDescent="0.55000000000000004">
      <c r="A68" s="1">
        <v>12733</v>
      </c>
      <c r="B68" s="1">
        <v>47.775199999999998</v>
      </c>
      <c r="C68" s="1">
        <v>-4.2354000000000003</v>
      </c>
      <c r="D68" s="1">
        <v>7</v>
      </c>
      <c r="E68" s="1" t="s">
        <v>70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100.29</v>
      </c>
    </row>
    <row r="69" spans="1:35" x14ac:dyDescent="0.55000000000000004">
      <c r="A69" s="1">
        <v>12733</v>
      </c>
      <c r="B69" s="1">
        <v>47.775199999999998</v>
      </c>
      <c r="C69" s="1">
        <v>-4.2354000000000003</v>
      </c>
      <c r="D69" s="1">
        <v>8</v>
      </c>
      <c r="E69" s="1" t="s">
        <v>70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86.48</v>
      </c>
    </row>
    <row r="70" spans="1:35" x14ac:dyDescent="0.55000000000000004">
      <c r="A70" s="1">
        <v>12733</v>
      </c>
      <c r="B70" s="1">
        <v>47.775199999999998</v>
      </c>
      <c r="C70" s="1">
        <v>-4.2354000000000003</v>
      </c>
      <c r="D70" s="1">
        <v>9</v>
      </c>
      <c r="E70" s="1" t="s">
        <v>70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65.23</v>
      </c>
    </row>
    <row r="71" spans="1:35" x14ac:dyDescent="0.55000000000000004">
      <c r="A71" s="1">
        <v>12733</v>
      </c>
      <c r="B71" s="1">
        <v>47.775199999999998</v>
      </c>
      <c r="C71" s="1">
        <v>-4.2354000000000003</v>
      </c>
      <c r="D71" s="1">
        <v>10</v>
      </c>
      <c r="E71" s="1" t="s">
        <v>70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37.25</v>
      </c>
    </row>
    <row r="72" spans="1:35" x14ac:dyDescent="0.55000000000000004">
      <c r="A72" s="1">
        <v>12733</v>
      </c>
      <c r="B72" s="1">
        <v>47.775199999999998</v>
      </c>
      <c r="C72" s="1">
        <v>-4.2354000000000003</v>
      </c>
      <c r="D72" s="1">
        <v>11</v>
      </c>
      <c r="E72" s="1" t="s">
        <v>70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19.48</v>
      </c>
    </row>
    <row r="73" spans="1:35" x14ac:dyDescent="0.55000000000000004">
      <c r="A73" s="1">
        <v>12733</v>
      </c>
      <c r="B73" s="1">
        <v>47.775199999999998</v>
      </c>
      <c r="C73" s="1">
        <v>-4.2354000000000003</v>
      </c>
      <c r="D73" s="1">
        <v>12</v>
      </c>
      <c r="E73" s="1" t="s">
        <v>70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15.5</v>
      </c>
    </row>
    <row r="74" spans="1:35" x14ac:dyDescent="0.55000000000000004">
      <c r="A74" s="1">
        <v>12875</v>
      </c>
      <c r="B74" s="1">
        <v>47.840800000000002</v>
      </c>
      <c r="C74" s="1">
        <v>-4.3507999999999996</v>
      </c>
      <c r="D74" s="1">
        <v>1</v>
      </c>
      <c r="E74" s="1" t="s">
        <v>70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18.87</v>
      </c>
    </row>
    <row r="75" spans="1:35" x14ac:dyDescent="0.55000000000000004">
      <c r="A75" s="1">
        <v>12875</v>
      </c>
      <c r="B75" s="1">
        <v>47.840800000000002</v>
      </c>
      <c r="C75" s="1">
        <v>-4.3507999999999996</v>
      </c>
      <c r="D75" s="1">
        <v>2</v>
      </c>
      <c r="E75" s="1" t="s">
        <v>70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23.52</v>
      </c>
    </row>
    <row r="76" spans="1:35" x14ac:dyDescent="0.55000000000000004">
      <c r="A76" s="1">
        <v>12875</v>
      </c>
      <c r="B76" s="1">
        <v>47.840800000000002</v>
      </c>
      <c r="C76" s="1">
        <v>-4.3507999999999996</v>
      </c>
      <c r="D76" s="1">
        <v>3</v>
      </c>
      <c r="E76" s="1" t="s">
        <v>70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39.369999999999997</v>
      </c>
    </row>
    <row r="77" spans="1:35" x14ac:dyDescent="0.55000000000000004">
      <c r="A77" s="1">
        <v>12875</v>
      </c>
      <c r="B77" s="1">
        <v>47.840800000000002</v>
      </c>
      <c r="C77" s="1">
        <v>-4.3507999999999996</v>
      </c>
      <c r="D77" s="1">
        <v>4</v>
      </c>
      <c r="E77" s="1" t="s">
        <v>70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59.42</v>
      </c>
    </row>
    <row r="78" spans="1:35" x14ac:dyDescent="0.55000000000000004">
      <c r="A78" s="1">
        <v>12875</v>
      </c>
      <c r="B78" s="1">
        <v>47.840800000000002</v>
      </c>
      <c r="C78" s="1">
        <v>-4.3507999999999996</v>
      </c>
      <c r="D78" s="1">
        <v>5</v>
      </c>
      <c r="E78" s="1" t="s">
        <v>70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87</v>
      </c>
    </row>
    <row r="79" spans="1:35" x14ac:dyDescent="0.55000000000000004">
      <c r="A79" s="1">
        <v>12875</v>
      </c>
      <c r="B79" s="1">
        <v>47.840800000000002</v>
      </c>
      <c r="C79" s="1">
        <v>-4.3507999999999996</v>
      </c>
      <c r="D79" s="1">
        <v>6</v>
      </c>
      <c r="E79" s="1" t="s">
        <v>70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82.78</v>
      </c>
    </row>
    <row r="80" spans="1:35" x14ac:dyDescent="0.55000000000000004">
      <c r="A80" s="1">
        <v>12875</v>
      </c>
      <c r="B80" s="1">
        <v>47.840800000000002</v>
      </c>
      <c r="C80" s="1">
        <v>-4.3507999999999996</v>
      </c>
      <c r="D80" s="1">
        <v>7</v>
      </c>
      <c r="E80" s="1" t="s">
        <v>70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93.04</v>
      </c>
    </row>
    <row r="81" spans="1:35" x14ac:dyDescent="0.55000000000000004">
      <c r="A81" s="1">
        <v>12875</v>
      </c>
      <c r="B81" s="1">
        <v>47.840800000000002</v>
      </c>
      <c r="C81" s="1">
        <v>-4.3507999999999996</v>
      </c>
      <c r="D81" s="1">
        <v>8</v>
      </c>
      <c r="E81" s="1" t="s">
        <v>70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80.180000000000007</v>
      </c>
    </row>
    <row r="82" spans="1:35" x14ac:dyDescent="0.55000000000000004">
      <c r="A82" s="1">
        <v>12875</v>
      </c>
      <c r="B82" s="1">
        <v>47.840800000000002</v>
      </c>
      <c r="C82" s="1">
        <v>-4.3507999999999996</v>
      </c>
      <c r="D82" s="1">
        <v>9</v>
      </c>
      <c r="E82" s="1" t="s">
        <v>70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62.38</v>
      </c>
    </row>
    <row r="83" spans="1:35" x14ac:dyDescent="0.55000000000000004">
      <c r="A83" s="1">
        <v>12875</v>
      </c>
      <c r="B83" s="1">
        <v>47.840800000000002</v>
      </c>
      <c r="C83" s="1">
        <v>-4.3507999999999996</v>
      </c>
      <c r="D83" s="1">
        <v>10</v>
      </c>
      <c r="E83" s="1" t="s">
        <v>70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36.24</v>
      </c>
    </row>
    <row r="84" spans="1:35" x14ac:dyDescent="0.55000000000000004">
      <c r="A84" s="1">
        <v>12875</v>
      </c>
      <c r="B84" s="1">
        <v>47.840800000000002</v>
      </c>
      <c r="C84" s="1">
        <v>-4.3507999999999996</v>
      </c>
      <c r="D84" s="1">
        <v>11</v>
      </c>
      <c r="E84" s="1" t="s">
        <v>70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20.32</v>
      </c>
    </row>
    <row r="85" spans="1:35" x14ac:dyDescent="0.55000000000000004">
      <c r="A85" s="1">
        <v>12875</v>
      </c>
      <c r="B85" s="1">
        <v>47.840800000000002</v>
      </c>
      <c r="C85" s="1">
        <v>-4.3507999999999996</v>
      </c>
      <c r="D85" s="1">
        <v>12</v>
      </c>
      <c r="E85" s="1" t="s">
        <v>70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16.98</v>
      </c>
    </row>
    <row r="86" spans="1:35" x14ac:dyDescent="0.55000000000000004">
      <c r="A86" s="1">
        <v>12876</v>
      </c>
      <c r="B86" s="1">
        <v>47.846899999999998</v>
      </c>
      <c r="C86" s="1">
        <v>-4.2443</v>
      </c>
      <c r="D86" s="1">
        <v>1</v>
      </c>
      <c r="E86" s="1" t="s">
        <v>70</v>
      </c>
      <c r="F86" s="1">
        <v>7.56</v>
      </c>
      <c r="G86" s="1">
        <v>5.5</v>
      </c>
      <c r="H86" s="1">
        <v>9.6199999999999992</v>
      </c>
      <c r="I86" s="1">
        <v>0</v>
      </c>
      <c r="J86" s="1">
        <v>0</v>
      </c>
      <c r="K86" s="1">
        <v>0</v>
      </c>
      <c r="L86" s="1">
        <v>4</v>
      </c>
      <c r="M86" s="1">
        <v>0</v>
      </c>
      <c r="N86" s="1">
        <v>2</v>
      </c>
      <c r="O86" s="1">
        <v>2</v>
      </c>
      <c r="P86" s="1">
        <v>0</v>
      </c>
      <c r="Q86" s="1">
        <v>0</v>
      </c>
      <c r="R86" s="1">
        <v>0</v>
      </c>
      <c r="S86" s="1">
        <v>4.12</v>
      </c>
      <c r="T86" s="1">
        <v>12.33</v>
      </c>
      <c r="U86" s="1">
        <v>5.65</v>
      </c>
      <c r="V86" s="1">
        <v>0.34</v>
      </c>
      <c r="W86" s="1">
        <v>9.4700000000000006</v>
      </c>
      <c r="X86" s="1">
        <v>292.64999999999998</v>
      </c>
      <c r="Y86" s="1">
        <v>0</v>
      </c>
      <c r="Z86" s="1">
        <v>4</v>
      </c>
      <c r="AA86" s="1">
        <v>124.02</v>
      </c>
      <c r="AB86" s="1">
        <v>15.07</v>
      </c>
      <c r="AC86" s="1">
        <v>0</v>
      </c>
      <c r="AD86" s="1">
        <v>61.72</v>
      </c>
      <c r="AE86" s="1">
        <v>6</v>
      </c>
      <c r="AF86" s="1">
        <v>7</v>
      </c>
      <c r="AG86" s="1">
        <v>7.76</v>
      </c>
      <c r="AH86" s="1">
        <v>5.82</v>
      </c>
      <c r="AI86" s="1">
        <v>17.18</v>
      </c>
    </row>
    <row r="87" spans="1:35" x14ac:dyDescent="0.55000000000000004">
      <c r="A87" s="1">
        <v>12876</v>
      </c>
      <c r="B87" s="1">
        <v>47.846899999999998</v>
      </c>
      <c r="C87" s="1">
        <v>-4.2443</v>
      </c>
      <c r="D87" s="1">
        <v>2</v>
      </c>
      <c r="E87" s="1" t="s">
        <v>70</v>
      </c>
      <c r="F87" s="1">
        <v>7.45</v>
      </c>
      <c r="G87" s="1">
        <v>5.0999999999999996</v>
      </c>
      <c r="H87" s="1">
        <v>9.7899999999999991</v>
      </c>
      <c r="I87" s="1">
        <v>0</v>
      </c>
      <c r="J87" s="1">
        <v>0</v>
      </c>
      <c r="K87" s="1">
        <v>0</v>
      </c>
      <c r="L87" s="1">
        <v>3</v>
      </c>
      <c r="M87" s="1">
        <v>0</v>
      </c>
      <c r="N87" s="1">
        <v>2</v>
      </c>
      <c r="O87" s="1">
        <v>1</v>
      </c>
      <c r="P87" s="1">
        <v>0</v>
      </c>
      <c r="Q87" s="1">
        <v>0</v>
      </c>
      <c r="R87" s="1">
        <v>0</v>
      </c>
      <c r="S87" s="1">
        <v>4.6900000000000004</v>
      </c>
      <c r="T87" s="1">
        <v>12.17</v>
      </c>
      <c r="U87" s="1">
        <v>7.03</v>
      </c>
      <c r="V87" s="1">
        <v>1.07</v>
      </c>
      <c r="W87" s="1">
        <v>8.9</v>
      </c>
      <c r="X87" s="1">
        <v>269.63</v>
      </c>
      <c r="Y87" s="1">
        <v>0</v>
      </c>
      <c r="Z87" s="1">
        <v>3.56</v>
      </c>
      <c r="AA87" s="1">
        <v>100.52</v>
      </c>
      <c r="AB87" s="1">
        <v>12.8</v>
      </c>
      <c r="AC87" s="1">
        <v>0</v>
      </c>
      <c r="AD87" s="1">
        <v>57.76</v>
      </c>
      <c r="AE87" s="1">
        <v>5</v>
      </c>
      <c r="AF87" s="1">
        <v>7</v>
      </c>
      <c r="AG87" s="1">
        <v>7.5</v>
      </c>
      <c r="AH87" s="1">
        <v>5.66</v>
      </c>
      <c r="AI87" s="1">
        <v>22.38</v>
      </c>
    </row>
    <row r="88" spans="1:35" x14ac:dyDescent="0.55000000000000004">
      <c r="A88" s="1">
        <v>12876</v>
      </c>
      <c r="B88" s="1">
        <v>47.846899999999998</v>
      </c>
      <c r="C88" s="1">
        <v>-4.2443</v>
      </c>
      <c r="D88" s="1">
        <v>3</v>
      </c>
      <c r="E88" s="1" t="s">
        <v>70</v>
      </c>
      <c r="F88" s="1">
        <v>9.17</v>
      </c>
      <c r="G88" s="1">
        <v>6.29</v>
      </c>
      <c r="H88" s="1">
        <v>12.05</v>
      </c>
      <c r="I88" s="1">
        <v>0</v>
      </c>
      <c r="J88" s="1">
        <v>0</v>
      </c>
      <c r="K88" s="1">
        <v>1</v>
      </c>
      <c r="L88" s="1">
        <v>2</v>
      </c>
      <c r="M88" s="1">
        <v>0</v>
      </c>
      <c r="N88" s="1">
        <v>0</v>
      </c>
      <c r="O88" s="1">
        <v>2</v>
      </c>
      <c r="P88" s="1">
        <v>0</v>
      </c>
      <c r="Q88" s="1">
        <v>0</v>
      </c>
      <c r="R88" s="1">
        <v>0</v>
      </c>
      <c r="S88" s="1">
        <v>5.76</v>
      </c>
      <c r="T88" s="1">
        <v>15.11</v>
      </c>
      <c r="U88" s="1">
        <v>8.67</v>
      </c>
      <c r="V88" s="1">
        <v>1.85</v>
      </c>
      <c r="W88" s="1">
        <v>10.02</v>
      </c>
      <c r="X88" s="1">
        <v>242.82</v>
      </c>
      <c r="Y88" s="1">
        <v>0.06</v>
      </c>
      <c r="Z88" s="1">
        <v>3.2</v>
      </c>
      <c r="AA88" s="1">
        <v>99.07</v>
      </c>
      <c r="AB88" s="1">
        <v>14.17</v>
      </c>
      <c r="AC88" s="1">
        <v>0</v>
      </c>
      <c r="AD88" s="1">
        <v>48.94</v>
      </c>
      <c r="AE88" s="1">
        <v>6</v>
      </c>
      <c r="AF88" s="1">
        <v>8</v>
      </c>
      <c r="AG88" s="1">
        <v>6.45</v>
      </c>
      <c r="AH88" s="1">
        <v>6.22</v>
      </c>
      <c r="AI88" s="1">
        <v>40.28</v>
      </c>
    </row>
    <row r="89" spans="1:35" x14ac:dyDescent="0.55000000000000004">
      <c r="A89" s="1">
        <v>12876</v>
      </c>
      <c r="B89" s="1">
        <v>47.846899999999998</v>
      </c>
      <c r="C89" s="1">
        <v>-4.2443</v>
      </c>
      <c r="D89" s="1">
        <v>4</v>
      </c>
      <c r="E89" s="1" t="s">
        <v>70</v>
      </c>
      <c r="F89" s="1">
        <v>11.33</v>
      </c>
      <c r="G89" s="1">
        <v>8.24</v>
      </c>
      <c r="H89" s="1">
        <v>14.42</v>
      </c>
      <c r="I89" s="1">
        <v>0</v>
      </c>
      <c r="J89" s="1">
        <v>0</v>
      </c>
      <c r="K89" s="1">
        <v>3</v>
      </c>
      <c r="L89" s="1">
        <v>2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6.18</v>
      </c>
      <c r="T89" s="1">
        <v>18.02</v>
      </c>
      <c r="U89" s="1">
        <v>10.91</v>
      </c>
      <c r="V89" s="1">
        <v>4.34</v>
      </c>
      <c r="W89" s="1">
        <v>11.29</v>
      </c>
      <c r="X89" s="1">
        <v>171.14</v>
      </c>
      <c r="Y89" s="1">
        <v>0.57999999999999996</v>
      </c>
      <c r="Z89" s="1">
        <v>2.46</v>
      </c>
      <c r="AA89" s="1">
        <v>73.83</v>
      </c>
      <c r="AB89" s="1">
        <v>11.53</v>
      </c>
      <c r="AC89" s="1">
        <v>0</v>
      </c>
      <c r="AD89" s="1">
        <v>46.6</v>
      </c>
      <c r="AE89" s="1">
        <v>4</v>
      </c>
      <c r="AF89" s="1">
        <v>9</v>
      </c>
      <c r="AG89" s="1">
        <v>6.18</v>
      </c>
      <c r="AH89" s="1">
        <v>6.84</v>
      </c>
      <c r="AI89" s="1">
        <v>61.36</v>
      </c>
    </row>
    <row r="90" spans="1:35" x14ac:dyDescent="0.55000000000000004">
      <c r="A90" s="1">
        <v>12876</v>
      </c>
      <c r="B90" s="1">
        <v>47.846899999999998</v>
      </c>
      <c r="C90" s="1">
        <v>-4.2443</v>
      </c>
      <c r="D90" s="1">
        <v>5</v>
      </c>
      <c r="E90" s="1" t="s">
        <v>70</v>
      </c>
      <c r="F90" s="1">
        <v>14.61</v>
      </c>
      <c r="G90" s="1">
        <v>11.33</v>
      </c>
      <c r="H90" s="1">
        <v>17.88</v>
      </c>
      <c r="I90" s="1">
        <v>3</v>
      </c>
      <c r="J90" s="1">
        <v>0</v>
      </c>
      <c r="K90" s="1">
        <v>6</v>
      </c>
      <c r="L90" s="1">
        <v>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</v>
      </c>
      <c r="S90" s="1">
        <v>6.56</v>
      </c>
      <c r="T90" s="1">
        <v>22.08</v>
      </c>
      <c r="U90" s="1">
        <v>13.71</v>
      </c>
      <c r="V90" s="1">
        <v>7.62</v>
      </c>
      <c r="W90" s="1">
        <v>14.35</v>
      </c>
      <c r="X90" s="1">
        <v>90.77</v>
      </c>
      <c r="Y90" s="1">
        <v>10.82</v>
      </c>
      <c r="Z90" s="1">
        <v>2.19</v>
      </c>
      <c r="AA90" s="1">
        <v>68.02</v>
      </c>
      <c r="AB90" s="1">
        <v>10.43</v>
      </c>
      <c r="AC90" s="1">
        <v>0</v>
      </c>
      <c r="AD90" s="1">
        <v>42.02</v>
      </c>
      <c r="AE90" s="1">
        <v>4</v>
      </c>
      <c r="AF90" s="1">
        <v>9</v>
      </c>
      <c r="AG90" s="1">
        <v>6.2</v>
      </c>
      <c r="AH90" s="1">
        <v>8.06</v>
      </c>
      <c r="AI90" s="1">
        <v>89.5</v>
      </c>
    </row>
    <row r="91" spans="1:35" x14ac:dyDescent="0.55000000000000004">
      <c r="A91" s="1">
        <v>12876</v>
      </c>
      <c r="B91" s="1">
        <v>47.846899999999998</v>
      </c>
      <c r="C91" s="1">
        <v>-4.2443</v>
      </c>
      <c r="D91" s="1">
        <v>6</v>
      </c>
      <c r="E91" s="1" t="s">
        <v>70</v>
      </c>
      <c r="F91" s="1">
        <v>15.95</v>
      </c>
      <c r="G91" s="1">
        <v>12.75</v>
      </c>
      <c r="H91" s="1">
        <v>19.14</v>
      </c>
      <c r="I91" s="1">
        <v>2</v>
      </c>
      <c r="J91" s="1">
        <v>0</v>
      </c>
      <c r="K91" s="1">
        <v>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6.4</v>
      </c>
      <c r="T91" s="1">
        <v>22.96</v>
      </c>
      <c r="U91" s="1">
        <v>15.96</v>
      </c>
      <c r="V91" s="1">
        <v>10.5</v>
      </c>
      <c r="W91" s="1">
        <v>14.85</v>
      </c>
      <c r="X91" s="1">
        <v>50.24</v>
      </c>
      <c r="Y91" s="1">
        <v>11.45</v>
      </c>
      <c r="Z91" s="1">
        <v>1.94</v>
      </c>
      <c r="AA91" s="1">
        <v>58.35</v>
      </c>
      <c r="AB91" s="1">
        <v>8.23</v>
      </c>
      <c r="AC91" s="1">
        <v>0</v>
      </c>
      <c r="AD91" s="1">
        <v>43.78</v>
      </c>
      <c r="AE91" s="1">
        <v>3</v>
      </c>
      <c r="AF91" s="1">
        <v>9</v>
      </c>
      <c r="AG91" s="1">
        <v>6.64</v>
      </c>
      <c r="AH91" s="1">
        <v>9.43</v>
      </c>
      <c r="AI91" s="1">
        <v>88.56</v>
      </c>
    </row>
    <row r="92" spans="1:35" x14ac:dyDescent="0.55000000000000004">
      <c r="A92" s="1">
        <v>12876</v>
      </c>
      <c r="B92" s="1">
        <v>47.846899999999998</v>
      </c>
      <c r="C92" s="1">
        <v>-4.2443</v>
      </c>
      <c r="D92" s="1">
        <v>7</v>
      </c>
      <c r="E92" s="1" t="s">
        <v>70</v>
      </c>
      <c r="F92" s="1">
        <v>18.690000000000001</v>
      </c>
      <c r="G92" s="1">
        <v>15.4</v>
      </c>
      <c r="H92" s="1">
        <v>21.98</v>
      </c>
      <c r="I92" s="1">
        <v>4</v>
      </c>
      <c r="J92" s="1">
        <v>0.03</v>
      </c>
      <c r="K92" s="1">
        <v>3</v>
      </c>
      <c r="L92" s="1">
        <v>1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6.58</v>
      </c>
      <c r="T92" s="1">
        <v>25.7</v>
      </c>
      <c r="U92" s="1">
        <v>18.739999999999998</v>
      </c>
      <c r="V92" s="1">
        <v>13.09</v>
      </c>
      <c r="W92" s="1">
        <v>17.71</v>
      </c>
      <c r="X92" s="1">
        <v>9.6999999999999993</v>
      </c>
      <c r="Y92" s="1">
        <v>41.66</v>
      </c>
      <c r="Z92" s="1">
        <v>2.17</v>
      </c>
      <c r="AA92" s="1">
        <v>67.34</v>
      </c>
      <c r="AB92" s="1">
        <v>8.27</v>
      </c>
      <c r="AC92" s="1">
        <v>0</v>
      </c>
      <c r="AD92" s="1">
        <v>59.07</v>
      </c>
      <c r="AE92" s="1">
        <v>3</v>
      </c>
      <c r="AF92" s="1">
        <v>10</v>
      </c>
      <c r="AG92" s="1">
        <v>7.57</v>
      </c>
      <c r="AH92" s="1">
        <v>10.92</v>
      </c>
      <c r="AI92" s="1">
        <v>99.79</v>
      </c>
    </row>
    <row r="93" spans="1:35" x14ac:dyDescent="0.55000000000000004">
      <c r="A93" s="1">
        <v>12876</v>
      </c>
      <c r="B93" s="1">
        <v>47.846899999999998</v>
      </c>
      <c r="C93" s="1">
        <v>-4.2443</v>
      </c>
      <c r="D93" s="1">
        <v>8</v>
      </c>
      <c r="E93" s="1" t="s">
        <v>70</v>
      </c>
      <c r="F93" s="1">
        <v>18.899999999999999</v>
      </c>
      <c r="G93" s="1">
        <v>15.65</v>
      </c>
      <c r="H93" s="1">
        <v>22.15</v>
      </c>
      <c r="I93" s="1">
        <v>4</v>
      </c>
      <c r="J93" s="1">
        <v>0.1</v>
      </c>
      <c r="K93" s="1">
        <v>2</v>
      </c>
      <c r="L93" s="1">
        <v>1</v>
      </c>
      <c r="M93" s="1">
        <v>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6.5</v>
      </c>
      <c r="T93" s="1">
        <v>25.24</v>
      </c>
      <c r="U93" s="1">
        <v>19.32</v>
      </c>
      <c r="V93" s="1">
        <v>13.25</v>
      </c>
      <c r="W93" s="1">
        <v>17.68</v>
      </c>
      <c r="X93" s="1">
        <v>4.67</v>
      </c>
      <c r="Y93" s="1">
        <v>40.94</v>
      </c>
      <c r="Z93" s="1">
        <v>1.46</v>
      </c>
      <c r="AA93" s="1">
        <v>45.13</v>
      </c>
      <c r="AB93" s="1">
        <v>7.37</v>
      </c>
      <c r="AC93" s="1">
        <v>0</v>
      </c>
      <c r="AD93" s="1">
        <v>43.96</v>
      </c>
      <c r="AE93" s="1">
        <v>2</v>
      </c>
      <c r="AF93" s="1">
        <v>11</v>
      </c>
      <c r="AG93" s="1">
        <v>5.95</v>
      </c>
      <c r="AH93" s="1">
        <v>11.09</v>
      </c>
      <c r="AI93" s="1">
        <v>86.13</v>
      </c>
    </row>
    <row r="94" spans="1:35" x14ac:dyDescent="0.55000000000000004">
      <c r="A94" s="1">
        <v>12876</v>
      </c>
      <c r="B94" s="1">
        <v>47.846899999999998</v>
      </c>
      <c r="C94" s="1">
        <v>-4.2443</v>
      </c>
      <c r="D94" s="1">
        <v>9</v>
      </c>
      <c r="E94" s="1" t="s">
        <v>70</v>
      </c>
      <c r="F94" s="1">
        <v>17.100000000000001</v>
      </c>
      <c r="G94" s="1">
        <v>13.59</v>
      </c>
      <c r="H94" s="1">
        <v>20.62</v>
      </c>
      <c r="I94" s="1">
        <v>2</v>
      </c>
      <c r="J94" s="1">
        <v>0</v>
      </c>
      <c r="K94" s="1">
        <v>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7.04</v>
      </c>
      <c r="T94" s="1">
        <v>23.64</v>
      </c>
      <c r="U94" s="1">
        <v>17.649999999999999</v>
      </c>
      <c r="V94" s="1">
        <v>10.41</v>
      </c>
      <c r="W94" s="1">
        <v>16.28</v>
      </c>
      <c r="X94" s="1">
        <v>25.28</v>
      </c>
      <c r="Y94" s="1">
        <v>16.04</v>
      </c>
      <c r="Z94" s="1">
        <v>2.0499999999999998</v>
      </c>
      <c r="AA94" s="1">
        <v>61.51</v>
      </c>
      <c r="AB94" s="1">
        <v>8.6</v>
      </c>
      <c r="AC94" s="1">
        <v>0</v>
      </c>
      <c r="AD94" s="1">
        <v>56.39</v>
      </c>
      <c r="AE94" s="1">
        <v>3</v>
      </c>
      <c r="AF94" s="1">
        <v>11</v>
      </c>
      <c r="AG94" s="1">
        <v>6.76</v>
      </c>
      <c r="AH94" s="1">
        <v>9.8000000000000007</v>
      </c>
      <c r="AI94" s="1">
        <v>64.84</v>
      </c>
    </row>
    <row r="95" spans="1:35" x14ac:dyDescent="0.55000000000000004">
      <c r="A95" s="1">
        <v>12876</v>
      </c>
      <c r="B95" s="1">
        <v>47.846899999999998</v>
      </c>
      <c r="C95" s="1">
        <v>-4.2443</v>
      </c>
      <c r="D95" s="1">
        <v>10</v>
      </c>
      <c r="E95" s="1" t="s">
        <v>70</v>
      </c>
      <c r="F95" s="1">
        <v>13.87</v>
      </c>
      <c r="G95" s="1">
        <v>11.04</v>
      </c>
      <c r="H95" s="1">
        <v>16.71</v>
      </c>
      <c r="I95" s="1">
        <v>0</v>
      </c>
      <c r="J95" s="1">
        <v>0</v>
      </c>
      <c r="K95" s="1">
        <v>1</v>
      </c>
      <c r="L95" s="1">
        <v>2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5.66</v>
      </c>
      <c r="T95" s="1">
        <v>19.760000000000002</v>
      </c>
      <c r="U95" s="1">
        <v>13.5</v>
      </c>
      <c r="V95" s="1">
        <v>6.92</v>
      </c>
      <c r="W95" s="1">
        <v>14.33</v>
      </c>
      <c r="X95" s="1">
        <v>101.39</v>
      </c>
      <c r="Y95" s="1">
        <v>1.87</v>
      </c>
      <c r="Z95" s="1">
        <v>3.69</v>
      </c>
      <c r="AA95" s="1">
        <v>114.33</v>
      </c>
      <c r="AB95" s="1">
        <v>14.13</v>
      </c>
      <c r="AC95" s="1">
        <v>0</v>
      </c>
      <c r="AD95" s="1">
        <v>56.14</v>
      </c>
      <c r="AE95" s="1">
        <v>5</v>
      </c>
      <c r="AF95" s="1">
        <v>7</v>
      </c>
      <c r="AG95" s="1">
        <v>7.66</v>
      </c>
      <c r="AH95" s="1">
        <v>8.52</v>
      </c>
      <c r="AI95" s="1">
        <v>37.04</v>
      </c>
    </row>
    <row r="96" spans="1:35" x14ac:dyDescent="0.55000000000000004">
      <c r="A96" s="1">
        <v>12876</v>
      </c>
      <c r="B96" s="1">
        <v>47.846899999999998</v>
      </c>
      <c r="C96" s="1">
        <v>-4.2443</v>
      </c>
      <c r="D96" s="1">
        <v>11</v>
      </c>
      <c r="E96" s="1" t="s">
        <v>70</v>
      </c>
      <c r="F96" s="1">
        <v>10.53</v>
      </c>
      <c r="G96" s="1">
        <v>8.17</v>
      </c>
      <c r="H96" s="1">
        <v>12.89</v>
      </c>
      <c r="I96" s="1">
        <v>0</v>
      </c>
      <c r="J96" s="1">
        <v>0</v>
      </c>
      <c r="K96" s="1">
        <v>0</v>
      </c>
      <c r="L96" s="1">
        <v>3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4.72</v>
      </c>
      <c r="T96" s="1">
        <v>15.36</v>
      </c>
      <c r="U96" s="1">
        <v>9.6300000000000008</v>
      </c>
      <c r="V96" s="1">
        <v>3.83</v>
      </c>
      <c r="W96" s="1">
        <v>11.78</v>
      </c>
      <c r="X96" s="1">
        <v>194.01</v>
      </c>
      <c r="Y96" s="1">
        <v>0</v>
      </c>
      <c r="Z96" s="1">
        <v>3.57</v>
      </c>
      <c r="AA96" s="1">
        <v>106.99</v>
      </c>
      <c r="AB96" s="1">
        <v>13.43</v>
      </c>
      <c r="AC96" s="1">
        <v>0</v>
      </c>
      <c r="AD96" s="1">
        <v>61.54</v>
      </c>
      <c r="AE96" s="1">
        <v>5</v>
      </c>
      <c r="AF96" s="1">
        <v>8</v>
      </c>
      <c r="AG96" s="1">
        <v>7.82</v>
      </c>
      <c r="AH96" s="1">
        <v>7.09</v>
      </c>
      <c r="AI96" s="1">
        <v>19.43</v>
      </c>
    </row>
    <row r="97" spans="1:35" x14ac:dyDescent="0.55000000000000004">
      <c r="A97" s="1">
        <v>12876</v>
      </c>
      <c r="B97" s="1">
        <v>47.846899999999998</v>
      </c>
      <c r="C97" s="1">
        <v>-4.2443</v>
      </c>
      <c r="D97" s="1">
        <v>12</v>
      </c>
      <c r="E97" s="1" t="s">
        <v>70</v>
      </c>
      <c r="F97" s="1">
        <v>8.08</v>
      </c>
      <c r="G97" s="1">
        <v>6.13</v>
      </c>
      <c r="H97" s="1">
        <v>10.02</v>
      </c>
      <c r="I97" s="1">
        <v>0</v>
      </c>
      <c r="J97" s="1">
        <v>0</v>
      </c>
      <c r="K97" s="1">
        <v>0</v>
      </c>
      <c r="L97" s="1">
        <v>3</v>
      </c>
      <c r="M97" s="1">
        <v>0</v>
      </c>
      <c r="N97" s="1">
        <v>2</v>
      </c>
      <c r="O97" s="1">
        <v>3</v>
      </c>
      <c r="P97" s="1">
        <v>0</v>
      </c>
      <c r="Q97" s="1">
        <v>1</v>
      </c>
      <c r="R97" s="1">
        <v>0</v>
      </c>
      <c r="S97" s="1">
        <v>3.89</v>
      </c>
      <c r="T97" s="1">
        <v>12.77</v>
      </c>
      <c r="U97" s="1">
        <v>6.13</v>
      </c>
      <c r="V97" s="1">
        <v>1.33</v>
      </c>
      <c r="W97" s="1">
        <v>10.01</v>
      </c>
      <c r="X97" s="1">
        <v>276.61</v>
      </c>
      <c r="Y97" s="1">
        <v>0</v>
      </c>
      <c r="Z97" s="1">
        <v>3.47</v>
      </c>
      <c r="AA97" s="1">
        <v>107.71</v>
      </c>
      <c r="AB97" s="1">
        <v>13.73</v>
      </c>
      <c r="AC97" s="1">
        <v>0</v>
      </c>
      <c r="AD97" s="1">
        <v>48.28</v>
      </c>
      <c r="AE97" s="1">
        <v>5</v>
      </c>
      <c r="AF97" s="1">
        <v>7</v>
      </c>
      <c r="AG97" s="1">
        <v>6.96</v>
      </c>
      <c r="AH97" s="1">
        <v>6.05</v>
      </c>
      <c r="AI97" s="1">
        <v>15.44</v>
      </c>
    </row>
    <row r="98" spans="1:35" x14ac:dyDescent="0.55000000000000004">
      <c r="A98" s="1">
        <v>12732</v>
      </c>
      <c r="B98" s="1">
        <v>47.769100000000002</v>
      </c>
      <c r="C98" s="1">
        <v>-4.3418000000000001</v>
      </c>
      <c r="D98" s="1">
        <v>1</v>
      </c>
      <c r="E98" s="1" t="s">
        <v>71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19.14</v>
      </c>
    </row>
    <row r="99" spans="1:35" x14ac:dyDescent="0.55000000000000004">
      <c r="A99" s="1">
        <v>12732</v>
      </c>
      <c r="B99" s="1">
        <v>47.769100000000002</v>
      </c>
      <c r="C99" s="1">
        <v>-4.3418000000000001</v>
      </c>
      <c r="D99" s="1">
        <v>2</v>
      </c>
      <c r="E99" s="1" t="s">
        <v>71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23.21</v>
      </c>
    </row>
    <row r="100" spans="1:35" x14ac:dyDescent="0.55000000000000004">
      <c r="A100" s="1">
        <v>12732</v>
      </c>
      <c r="B100" s="1">
        <v>47.769100000000002</v>
      </c>
      <c r="C100" s="1">
        <v>-4.3418000000000001</v>
      </c>
      <c r="D100" s="1">
        <v>3</v>
      </c>
      <c r="E100" s="1" t="s">
        <v>71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42.19</v>
      </c>
    </row>
    <row r="101" spans="1:35" x14ac:dyDescent="0.55000000000000004">
      <c r="A101" s="1">
        <v>12732</v>
      </c>
      <c r="B101" s="1">
        <v>47.769100000000002</v>
      </c>
      <c r="C101" s="1">
        <v>-4.3418000000000001</v>
      </c>
      <c r="D101" s="1">
        <v>4</v>
      </c>
      <c r="E101" s="1" t="s">
        <v>71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61.56</v>
      </c>
    </row>
    <row r="102" spans="1:35" x14ac:dyDescent="0.55000000000000004">
      <c r="A102" s="1">
        <v>12732</v>
      </c>
      <c r="B102" s="1">
        <v>47.769100000000002</v>
      </c>
      <c r="C102" s="1">
        <v>-4.3418000000000001</v>
      </c>
      <c r="D102" s="1">
        <v>5</v>
      </c>
      <c r="E102" s="1" t="s">
        <v>71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88.19</v>
      </c>
    </row>
    <row r="103" spans="1:35" x14ac:dyDescent="0.55000000000000004">
      <c r="A103" s="1">
        <v>12732</v>
      </c>
      <c r="B103" s="1">
        <v>47.769100000000002</v>
      </c>
      <c r="C103" s="1">
        <v>-4.3418000000000001</v>
      </c>
      <c r="D103" s="1">
        <v>6</v>
      </c>
      <c r="E103" s="1" t="s">
        <v>71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88.91</v>
      </c>
    </row>
    <row r="104" spans="1:35" x14ac:dyDescent="0.55000000000000004">
      <c r="A104" s="1">
        <v>12732</v>
      </c>
      <c r="B104" s="1">
        <v>47.769100000000002</v>
      </c>
      <c r="C104" s="1">
        <v>-4.3418000000000001</v>
      </c>
      <c r="D104" s="1">
        <v>7</v>
      </c>
      <c r="E104" s="1" t="s">
        <v>71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97.65</v>
      </c>
    </row>
    <row r="105" spans="1:35" x14ac:dyDescent="0.55000000000000004">
      <c r="A105" s="1">
        <v>12732</v>
      </c>
      <c r="B105" s="1">
        <v>47.769100000000002</v>
      </c>
      <c r="C105" s="1">
        <v>-4.3418000000000001</v>
      </c>
      <c r="D105" s="1">
        <v>8</v>
      </c>
      <c r="E105" s="1" t="s">
        <v>71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83.87</v>
      </c>
    </row>
    <row r="106" spans="1:35" x14ac:dyDescent="0.55000000000000004">
      <c r="A106" s="1">
        <v>12732</v>
      </c>
      <c r="B106" s="1">
        <v>47.769100000000002</v>
      </c>
      <c r="C106" s="1">
        <v>-4.3418000000000001</v>
      </c>
      <c r="D106" s="1">
        <v>9</v>
      </c>
      <c r="E106" s="1" t="s">
        <v>71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67.06</v>
      </c>
    </row>
    <row r="107" spans="1:35" x14ac:dyDescent="0.55000000000000004">
      <c r="A107" s="1">
        <v>12732</v>
      </c>
      <c r="B107" s="1">
        <v>47.769100000000002</v>
      </c>
      <c r="C107" s="1">
        <v>-4.3418000000000001</v>
      </c>
      <c r="D107" s="1">
        <v>10</v>
      </c>
      <c r="E107" s="1" t="s">
        <v>71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36.340000000000003</v>
      </c>
    </row>
    <row r="108" spans="1:35" x14ac:dyDescent="0.55000000000000004">
      <c r="A108" s="1">
        <v>12732</v>
      </c>
      <c r="B108" s="1">
        <v>47.769100000000002</v>
      </c>
      <c r="C108" s="1">
        <v>-4.3418000000000001</v>
      </c>
      <c r="D108" s="1">
        <v>11</v>
      </c>
      <c r="E108" s="1" t="s">
        <v>71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20.67</v>
      </c>
    </row>
    <row r="109" spans="1:35" x14ac:dyDescent="0.55000000000000004">
      <c r="A109" s="1">
        <v>12732</v>
      </c>
      <c r="B109" s="1">
        <v>47.769100000000002</v>
      </c>
      <c r="C109" s="1">
        <v>-4.3418000000000001</v>
      </c>
      <c r="D109" s="1">
        <v>12</v>
      </c>
      <c r="E109" s="1" t="s">
        <v>71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17.309999999999999</v>
      </c>
    </row>
    <row r="110" spans="1:35" x14ac:dyDescent="0.55000000000000004">
      <c r="A110" s="1">
        <v>12733</v>
      </c>
      <c r="B110" s="1">
        <v>47.775199999999998</v>
      </c>
      <c r="C110" s="1">
        <v>-4.2354000000000003</v>
      </c>
      <c r="D110" s="1">
        <v>1</v>
      </c>
      <c r="E110" s="1" t="s">
        <v>71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17.559999999999999</v>
      </c>
    </row>
    <row r="111" spans="1:35" x14ac:dyDescent="0.55000000000000004">
      <c r="A111" s="1">
        <v>12733</v>
      </c>
      <c r="B111" s="1">
        <v>47.775199999999998</v>
      </c>
      <c r="C111" s="1">
        <v>-4.2354000000000003</v>
      </c>
      <c r="D111" s="1">
        <v>2</v>
      </c>
      <c r="E111" s="1" t="s">
        <v>71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22.09</v>
      </c>
    </row>
    <row r="112" spans="1:35" x14ac:dyDescent="0.55000000000000004">
      <c r="A112" s="1">
        <v>12733</v>
      </c>
      <c r="B112" s="1">
        <v>47.775199999999998</v>
      </c>
      <c r="C112" s="1">
        <v>-4.2354000000000003</v>
      </c>
      <c r="D112" s="1">
        <v>3</v>
      </c>
      <c r="E112" s="1" t="s">
        <v>71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43.2</v>
      </c>
    </row>
    <row r="113" spans="1:35" x14ac:dyDescent="0.55000000000000004">
      <c r="A113" s="1">
        <v>12733</v>
      </c>
      <c r="B113" s="1">
        <v>47.775199999999998</v>
      </c>
      <c r="C113" s="1">
        <v>-4.2354000000000003</v>
      </c>
      <c r="D113" s="1">
        <v>4</v>
      </c>
      <c r="E113" s="1" t="s">
        <v>71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63.8</v>
      </c>
    </row>
    <row r="114" spans="1:35" x14ac:dyDescent="0.55000000000000004">
      <c r="A114" s="1">
        <v>12733</v>
      </c>
      <c r="B114" s="1">
        <v>47.775199999999998</v>
      </c>
      <c r="C114" s="1">
        <v>-4.2354000000000003</v>
      </c>
      <c r="D114" s="1">
        <v>5</v>
      </c>
      <c r="E114" s="1" t="s">
        <v>71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91.1</v>
      </c>
    </row>
    <row r="115" spans="1:35" x14ac:dyDescent="0.55000000000000004">
      <c r="A115" s="1">
        <v>12733</v>
      </c>
      <c r="B115" s="1">
        <v>47.775199999999998</v>
      </c>
      <c r="C115" s="1">
        <v>-4.2354000000000003</v>
      </c>
      <c r="D115" s="1">
        <v>6</v>
      </c>
      <c r="E115" s="1" t="s">
        <v>71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95.47</v>
      </c>
    </row>
    <row r="116" spans="1:35" x14ac:dyDescent="0.55000000000000004">
      <c r="A116" s="1">
        <v>12733</v>
      </c>
      <c r="B116" s="1">
        <v>47.775199999999998</v>
      </c>
      <c r="C116" s="1">
        <v>-4.2354000000000003</v>
      </c>
      <c r="D116" s="1">
        <v>7</v>
      </c>
      <c r="E116" s="1" t="s">
        <v>71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104.99</v>
      </c>
    </row>
    <row r="117" spans="1:35" x14ac:dyDescent="0.55000000000000004">
      <c r="A117" s="1">
        <v>12733</v>
      </c>
      <c r="B117" s="1">
        <v>47.775199999999998</v>
      </c>
      <c r="C117" s="1">
        <v>-4.2354000000000003</v>
      </c>
      <c r="D117" s="1">
        <v>8</v>
      </c>
      <c r="E117" s="1" t="s">
        <v>71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90.42</v>
      </c>
    </row>
    <row r="118" spans="1:35" x14ac:dyDescent="0.55000000000000004">
      <c r="A118" s="1">
        <v>12733</v>
      </c>
      <c r="B118" s="1">
        <v>47.775199999999998</v>
      </c>
      <c r="C118" s="1">
        <v>-4.2354000000000003</v>
      </c>
      <c r="D118" s="1">
        <v>9</v>
      </c>
      <c r="E118" s="1" t="s">
        <v>71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69.97</v>
      </c>
    </row>
    <row r="119" spans="1:35" x14ac:dyDescent="0.55000000000000004">
      <c r="A119" s="1">
        <v>12733</v>
      </c>
      <c r="B119" s="1">
        <v>47.775199999999998</v>
      </c>
      <c r="C119" s="1">
        <v>-4.2354000000000003</v>
      </c>
      <c r="D119" s="1">
        <v>10</v>
      </c>
      <c r="E119" s="1" t="s">
        <v>71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37.520000000000003</v>
      </c>
    </row>
    <row r="120" spans="1:35" x14ac:dyDescent="0.55000000000000004">
      <c r="A120" s="1">
        <v>12733</v>
      </c>
      <c r="B120" s="1">
        <v>47.775199999999998</v>
      </c>
      <c r="C120" s="1">
        <v>-4.2354000000000003</v>
      </c>
      <c r="D120" s="1">
        <v>11</v>
      </c>
      <c r="E120" s="1" t="s">
        <v>71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20.14</v>
      </c>
    </row>
    <row r="121" spans="1:35" x14ac:dyDescent="0.55000000000000004">
      <c r="A121" s="1">
        <v>12733</v>
      </c>
      <c r="B121" s="1">
        <v>47.775199999999998</v>
      </c>
      <c r="C121" s="1">
        <v>-4.2354000000000003</v>
      </c>
      <c r="D121" s="1">
        <v>12</v>
      </c>
      <c r="E121" s="1" t="s">
        <v>71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15.78</v>
      </c>
    </row>
    <row r="122" spans="1:35" x14ac:dyDescent="0.55000000000000004">
      <c r="A122" s="1">
        <v>12875</v>
      </c>
      <c r="B122" s="1">
        <v>47.840800000000002</v>
      </c>
      <c r="C122" s="1">
        <v>-4.3507999999999996</v>
      </c>
      <c r="D122" s="1">
        <v>1</v>
      </c>
      <c r="E122" s="1" t="s">
        <v>71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19.12</v>
      </c>
    </row>
    <row r="123" spans="1:35" x14ac:dyDescent="0.55000000000000004">
      <c r="A123" s="1">
        <v>12875</v>
      </c>
      <c r="B123" s="1">
        <v>47.840800000000002</v>
      </c>
      <c r="C123" s="1">
        <v>-4.3507999999999996</v>
      </c>
      <c r="D123" s="1">
        <v>2</v>
      </c>
      <c r="E123" s="1" t="s">
        <v>71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23.16</v>
      </c>
    </row>
    <row r="124" spans="1:35" x14ac:dyDescent="0.55000000000000004">
      <c r="A124" s="1">
        <v>12875</v>
      </c>
      <c r="B124" s="1">
        <v>47.840800000000002</v>
      </c>
      <c r="C124" s="1">
        <v>-4.3507999999999996</v>
      </c>
      <c r="D124" s="1">
        <v>3</v>
      </c>
      <c r="E124" s="1" t="s">
        <v>71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42.09</v>
      </c>
    </row>
    <row r="125" spans="1:35" x14ac:dyDescent="0.55000000000000004">
      <c r="A125" s="1">
        <v>12875</v>
      </c>
      <c r="B125" s="1">
        <v>47.840800000000002</v>
      </c>
      <c r="C125" s="1">
        <v>-4.3507999999999996</v>
      </c>
      <c r="D125" s="1">
        <v>4</v>
      </c>
      <c r="E125" s="1" t="s">
        <v>71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61.36</v>
      </c>
    </row>
    <row r="126" spans="1:35" x14ac:dyDescent="0.55000000000000004">
      <c r="A126" s="1">
        <v>12875</v>
      </c>
      <c r="B126" s="1">
        <v>47.840800000000002</v>
      </c>
      <c r="C126" s="1">
        <v>-4.3507999999999996</v>
      </c>
      <c r="D126" s="1">
        <v>5</v>
      </c>
      <c r="E126" s="1" t="s">
        <v>71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87.96</v>
      </c>
    </row>
    <row r="127" spans="1:35" x14ac:dyDescent="0.55000000000000004">
      <c r="A127" s="1">
        <v>12875</v>
      </c>
      <c r="B127" s="1">
        <v>47.840800000000002</v>
      </c>
      <c r="C127" s="1">
        <v>-4.3507999999999996</v>
      </c>
      <c r="D127" s="1">
        <v>6</v>
      </c>
      <c r="E127" s="1" t="s">
        <v>71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88.64</v>
      </c>
    </row>
    <row r="128" spans="1:35" x14ac:dyDescent="0.55000000000000004">
      <c r="A128" s="1">
        <v>12875</v>
      </c>
      <c r="B128" s="1">
        <v>47.840800000000002</v>
      </c>
      <c r="C128" s="1">
        <v>-4.3507999999999996</v>
      </c>
      <c r="D128" s="1">
        <v>7</v>
      </c>
      <c r="E128" s="1" t="s">
        <v>71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97.46</v>
      </c>
    </row>
    <row r="129" spans="1:35" x14ac:dyDescent="0.55000000000000004">
      <c r="A129" s="1">
        <v>12875</v>
      </c>
      <c r="B129" s="1">
        <v>47.840800000000002</v>
      </c>
      <c r="C129" s="1">
        <v>-4.3507999999999996</v>
      </c>
      <c r="D129" s="1">
        <v>8</v>
      </c>
      <c r="E129" s="1" t="s">
        <v>71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83.78</v>
      </c>
    </row>
    <row r="130" spans="1:35" x14ac:dyDescent="0.55000000000000004">
      <c r="A130" s="1">
        <v>12875</v>
      </c>
      <c r="B130" s="1">
        <v>47.840800000000002</v>
      </c>
      <c r="C130" s="1">
        <v>-4.3507999999999996</v>
      </c>
      <c r="D130" s="1">
        <v>9</v>
      </c>
      <c r="E130" s="1" t="s">
        <v>71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66.83</v>
      </c>
    </row>
    <row r="131" spans="1:35" x14ac:dyDescent="0.55000000000000004">
      <c r="A131" s="1">
        <v>12875</v>
      </c>
      <c r="B131" s="1">
        <v>47.840800000000002</v>
      </c>
      <c r="C131" s="1">
        <v>-4.3507999999999996</v>
      </c>
      <c r="D131" s="1">
        <v>10</v>
      </c>
      <c r="E131" s="1" t="s">
        <v>71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36.24</v>
      </c>
    </row>
    <row r="132" spans="1:35" x14ac:dyDescent="0.55000000000000004">
      <c r="A132" s="1">
        <v>12875</v>
      </c>
      <c r="B132" s="1">
        <v>47.840800000000002</v>
      </c>
      <c r="C132" s="1">
        <v>-4.3507999999999996</v>
      </c>
      <c r="D132" s="1">
        <v>11</v>
      </c>
      <c r="E132" s="1" t="s">
        <v>71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20.65</v>
      </c>
    </row>
    <row r="133" spans="1:35" x14ac:dyDescent="0.55000000000000004">
      <c r="A133" s="1">
        <v>12875</v>
      </c>
      <c r="B133" s="1">
        <v>47.840800000000002</v>
      </c>
      <c r="C133" s="1">
        <v>-4.3507999999999996</v>
      </c>
      <c r="D133" s="1">
        <v>12</v>
      </c>
      <c r="E133" s="1" t="s">
        <v>71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17.309999999999999</v>
      </c>
    </row>
    <row r="134" spans="1:35" x14ac:dyDescent="0.55000000000000004">
      <c r="A134" s="1">
        <v>12876</v>
      </c>
      <c r="B134" s="1">
        <v>47.846899999999998</v>
      </c>
      <c r="C134" s="1">
        <v>-4.2443</v>
      </c>
      <c r="D134" s="1">
        <v>1</v>
      </c>
      <c r="E134" s="1" t="s">
        <v>71</v>
      </c>
      <c r="F134" s="1">
        <v>8.01</v>
      </c>
      <c r="G134" s="1">
        <v>5.95</v>
      </c>
      <c r="H134" s="1">
        <v>10.07</v>
      </c>
      <c r="I134" s="1">
        <v>0</v>
      </c>
      <c r="J134" s="1">
        <v>0</v>
      </c>
      <c r="K134" s="1">
        <v>1</v>
      </c>
      <c r="L134" s="1">
        <v>5</v>
      </c>
      <c r="M134" s="1">
        <v>0</v>
      </c>
      <c r="N134" s="1">
        <v>2</v>
      </c>
      <c r="O134" s="1">
        <v>1</v>
      </c>
      <c r="P134" s="1">
        <v>0</v>
      </c>
      <c r="Q134" s="1">
        <v>0</v>
      </c>
      <c r="R134" s="1">
        <v>0</v>
      </c>
      <c r="S134" s="1">
        <v>4.12</v>
      </c>
      <c r="T134" s="1">
        <v>12.85</v>
      </c>
      <c r="U134" s="1">
        <v>6.05</v>
      </c>
      <c r="V134" s="1">
        <v>0.64</v>
      </c>
      <c r="W134" s="1">
        <v>10.18</v>
      </c>
      <c r="X134" s="1">
        <v>278.68</v>
      </c>
      <c r="Y134" s="1">
        <v>0</v>
      </c>
      <c r="Z134" s="1">
        <v>3.8</v>
      </c>
      <c r="AA134" s="1">
        <v>117.93</v>
      </c>
      <c r="AB134" s="1">
        <v>15.07</v>
      </c>
      <c r="AC134" s="1">
        <v>0</v>
      </c>
      <c r="AD134" s="1">
        <v>59.57</v>
      </c>
      <c r="AE134" s="1">
        <v>6</v>
      </c>
      <c r="AF134" s="1">
        <v>7</v>
      </c>
      <c r="AG134" s="1">
        <v>7.45</v>
      </c>
      <c r="AH134" s="1">
        <v>5.98</v>
      </c>
      <c r="AI134" s="1">
        <v>17.48</v>
      </c>
    </row>
    <row r="135" spans="1:35" x14ac:dyDescent="0.55000000000000004">
      <c r="A135" s="1">
        <v>12876</v>
      </c>
      <c r="B135" s="1">
        <v>47.846899999999998</v>
      </c>
      <c r="C135" s="1">
        <v>-4.2443</v>
      </c>
      <c r="D135" s="1">
        <v>2</v>
      </c>
      <c r="E135" s="1" t="s">
        <v>71</v>
      </c>
      <c r="F135" s="1">
        <v>7.98</v>
      </c>
      <c r="G135" s="1">
        <v>5.62</v>
      </c>
      <c r="H135" s="1">
        <v>10.35</v>
      </c>
      <c r="I135" s="1">
        <v>0</v>
      </c>
      <c r="J135" s="1">
        <v>0</v>
      </c>
      <c r="K135" s="1">
        <v>1</v>
      </c>
      <c r="L135" s="1">
        <v>4</v>
      </c>
      <c r="M135" s="1">
        <v>0</v>
      </c>
      <c r="N135" s="1">
        <v>1</v>
      </c>
      <c r="O135" s="1">
        <v>1</v>
      </c>
      <c r="P135" s="1">
        <v>0</v>
      </c>
      <c r="Q135" s="1">
        <v>0</v>
      </c>
      <c r="R135" s="1">
        <v>0</v>
      </c>
      <c r="S135" s="1">
        <v>4.7300000000000004</v>
      </c>
      <c r="T135" s="1">
        <v>12.59</v>
      </c>
      <c r="U135" s="1">
        <v>7.27</v>
      </c>
      <c r="V135" s="1">
        <v>1.18</v>
      </c>
      <c r="W135" s="1">
        <v>9.2200000000000006</v>
      </c>
      <c r="X135" s="1">
        <v>254.49</v>
      </c>
      <c r="Y135" s="1">
        <v>0</v>
      </c>
      <c r="Z135" s="1">
        <v>3.63</v>
      </c>
      <c r="AA135" s="1">
        <v>102.45</v>
      </c>
      <c r="AB135" s="1">
        <v>13.03</v>
      </c>
      <c r="AC135" s="1">
        <v>0</v>
      </c>
      <c r="AD135" s="1">
        <v>57.7</v>
      </c>
      <c r="AE135" s="1">
        <v>5</v>
      </c>
      <c r="AF135" s="1">
        <v>7</v>
      </c>
      <c r="AG135" s="1">
        <v>7.64</v>
      </c>
      <c r="AH135" s="1">
        <v>5.91</v>
      </c>
      <c r="AI135" s="1">
        <v>21.99</v>
      </c>
    </row>
    <row r="136" spans="1:35" x14ac:dyDescent="0.55000000000000004">
      <c r="A136" s="1">
        <v>12876</v>
      </c>
      <c r="B136" s="1">
        <v>47.846899999999998</v>
      </c>
      <c r="C136" s="1">
        <v>-4.2443</v>
      </c>
      <c r="D136" s="1">
        <v>3</v>
      </c>
      <c r="E136" s="1" t="s">
        <v>71</v>
      </c>
      <c r="F136" s="1">
        <v>10.48</v>
      </c>
      <c r="G136" s="1">
        <v>7.67</v>
      </c>
      <c r="H136" s="1">
        <v>13.28</v>
      </c>
      <c r="I136" s="1">
        <v>0</v>
      </c>
      <c r="J136" s="1">
        <v>0</v>
      </c>
      <c r="K136" s="1">
        <v>3</v>
      </c>
      <c r="L136" s="1">
        <v>5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5.62</v>
      </c>
      <c r="T136" s="1">
        <v>16.760000000000002</v>
      </c>
      <c r="U136" s="1">
        <v>9.91</v>
      </c>
      <c r="V136" s="1">
        <v>3.81</v>
      </c>
      <c r="W136" s="1">
        <v>10.9</v>
      </c>
      <c r="X136" s="1">
        <v>202.32</v>
      </c>
      <c r="Y136" s="1">
        <v>0</v>
      </c>
      <c r="Z136" s="1">
        <v>3.01</v>
      </c>
      <c r="AA136" s="1">
        <v>93.34</v>
      </c>
      <c r="AB136" s="1">
        <v>13.23</v>
      </c>
      <c r="AC136" s="1">
        <v>0</v>
      </c>
      <c r="AD136" s="1">
        <v>55.18</v>
      </c>
      <c r="AE136" s="1">
        <v>6</v>
      </c>
      <c r="AF136" s="1">
        <v>8</v>
      </c>
      <c r="AG136" s="1">
        <v>6.72</v>
      </c>
      <c r="AH136" s="1">
        <v>6.68</v>
      </c>
      <c r="AI136" s="1">
        <v>43</v>
      </c>
    </row>
    <row r="137" spans="1:35" x14ac:dyDescent="0.55000000000000004">
      <c r="A137" s="1">
        <v>12876</v>
      </c>
      <c r="B137" s="1">
        <v>47.846899999999998</v>
      </c>
      <c r="C137" s="1">
        <v>-4.2443</v>
      </c>
      <c r="D137" s="1">
        <v>4</v>
      </c>
      <c r="E137" s="1" t="s">
        <v>71</v>
      </c>
      <c r="F137" s="1">
        <v>12.01</v>
      </c>
      <c r="G137" s="1">
        <v>9</v>
      </c>
      <c r="H137" s="1">
        <v>15.01</v>
      </c>
      <c r="I137" s="1">
        <v>0</v>
      </c>
      <c r="J137" s="1">
        <v>0</v>
      </c>
      <c r="K137" s="1">
        <v>4</v>
      </c>
      <c r="L137" s="1">
        <v>3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</v>
      </c>
      <c r="S137" s="1">
        <v>6.01</v>
      </c>
      <c r="T137" s="1">
        <v>19.47</v>
      </c>
      <c r="U137" s="1">
        <v>11.3</v>
      </c>
      <c r="V137" s="1">
        <v>5.0599999999999996</v>
      </c>
      <c r="W137" s="1">
        <v>12.16</v>
      </c>
      <c r="X137" s="1">
        <v>153.05000000000001</v>
      </c>
      <c r="Y137" s="1">
        <v>1.74</v>
      </c>
      <c r="Z137" s="1">
        <v>2.4</v>
      </c>
      <c r="AA137" s="1">
        <v>72.03</v>
      </c>
      <c r="AB137" s="1">
        <v>11.73</v>
      </c>
      <c r="AC137" s="1">
        <v>0</v>
      </c>
      <c r="AD137" s="1">
        <v>40.9</v>
      </c>
      <c r="AE137" s="1">
        <v>4</v>
      </c>
      <c r="AF137" s="1">
        <v>9</v>
      </c>
      <c r="AG137" s="1">
        <v>5.77</v>
      </c>
      <c r="AH137" s="1">
        <v>7.07</v>
      </c>
      <c r="AI137" s="1">
        <v>63.39</v>
      </c>
    </row>
    <row r="138" spans="1:35" x14ac:dyDescent="0.55000000000000004">
      <c r="A138" s="1">
        <v>12876</v>
      </c>
      <c r="B138" s="1">
        <v>47.846899999999998</v>
      </c>
      <c r="C138" s="1">
        <v>-4.2443</v>
      </c>
      <c r="D138" s="1">
        <v>5</v>
      </c>
      <c r="E138" s="1" t="s">
        <v>71</v>
      </c>
      <c r="F138" s="1">
        <v>14.99</v>
      </c>
      <c r="G138" s="1">
        <v>11.8</v>
      </c>
      <c r="H138" s="1">
        <v>18.18</v>
      </c>
      <c r="I138" s="1">
        <v>3</v>
      </c>
      <c r="J138" s="1">
        <v>7.0000000000000007E-2</v>
      </c>
      <c r="K138" s="1">
        <v>6</v>
      </c>
      <c r="L138" s="1">
        <v>3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3</v>
      </c>
      <c r="S138" s="1">
        <v>6.38</v>
      </c>
      <c r="T138" s="1">
        <v>22.55</v>
      </c>
      <c r="U138" s="1">
        <v>14.15</v>
      </c>
      <c r="V138" s="1">
        <v>8.24</v>
      </c>
      <c r="W138" s="1">
        <v>14.89</v>
      </c>
      <c r="X138" s="1">
        <v>82.16</v>
      </c>
      <c r="Y138" s="1">
        <v>14.08</v>
      </c>
      <c r="Z138" s="1">
        <v>2.13</v>
      </c>
      <c r="AA138" s="1">
        <v>66.180000000000007</v>
      </c>
      <c r="AB138" s="1">
        <v>10.43</v>
      </c>
      <c r="AC138" s="1">
        <v>0</v>
      </c>
      <c r="AD138" s="1">
        <v>49.11</v>
      </c>
      <c r="AE138" s="1">
        <v>3</v>
      </c>
      <c r="AF138" s="1">
        <v>9</v>
      </c>
      <c r="AG138" s="1">
        <v>6.02</v>
      </c>
      <c r="AH138" s="1">
        <v>8.27</v>
      </c>
      <c r="AI138" s="1">
        <v>90.54</v>
      </c>
    </row>
    <row r="139" spans="1:35" x14ac:dyDescent="0.55000000000000004">
      <c r="A139" s="1">
        <v>12876</v>
      </c>
      <c r="B139" s="1">
        <v>47.846899999999998</v>
      </c>
      <c r="C139" s="1">
        <v>-4.2443</v>
      </c>
      <c r="D139" s="1">
        <v>6</v>
      </c>
      <c r="E139" s="1" t="s">
        <v>71</v>
      </c>
      <c r="F139" s="1">
        <v>16.95</v>
      </c>
      <c r="G139" s="1">
        <v>13.61</v>
      </c>
      <c r="H139" s="1">
        <v>20.28</v>
      </c>
      <c r="I139" s="1">
        <v>2</v>
      </c>
      <c r="J139" s="1">
        <v>0</v>
      </c>
      <c r="K139" s="1">
        <v>4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6.67</v>
      </c>
      <c r="T139" s="1">
        <v>23.84</v>
      </c>
      <c r="U139" s="1">
        <v>16.55</v>
      </c>
      <c r="V139" s="1">
        <v>10.94</v>
      </c>
      <c r="W139" s="1">
        <v>15.92</v>
      </c>
      <c r="X139" s="1">
        <v>32.520000000000003</v>
      </c>
      <c r="Y139" s="1">
        <v>19.899999999999999</v>
      </c>
      <c r="Z139" s="1">
        <v>1.44</v>
      </c>
      <c r="AA139" s="1">
        <v>43.25</v>
      </c>
      <c r="AB139" s="1">
        <v>6.7</v>
      </c>
      <c r="AC139" s="1">
        <v>0</v>
      </c>
      <c r="AD139" s="1">
        <v>44.66</v>
      </c>
      <c r="AE139" s="1">
        <v>2</v>
      </c>
      <c r="AF139" s="1">
        <v>11</v>
      </c>
      <c r="AG139" s="1">
        <v>7</v>
      </c>
      <c r="AH139" s="1">
        <v>9.9</v>
      </c>
      <c r="AI139" s="1">
        <v>94.89</v>
      </c>
    </row>
    <row r="140" spans="1:35" x14ac:dyDescent="0.55000000000000004">
      <c r="A140" s="1">
        <v>12876</v>
      </c>
      <c r="B140" s="1">
        <v>47.846899999999998</v>
      </c>
      <c r="C140" s="1">
        <v>-4.2443</v>
      </c>
      <c r="D140" s="1">
        <v>7</v>
      </c>
      <c r="E140" s="1" t="s">
        <v>71</v>
      </c>
      <c r="F140" s="1">
        <v>19.71</v>
      </c>
      <c r="G140" s="1">
        <v>16.41</v>
      </c>
      <c r="H140" s="1">
        <v>23.01</v>
      </c>
      <c r="I140" s="1">
        <v>6</v>
      </c>
      <c r="J140" s="1">
        <v>0.1</v>
      </c>
      <c r="K140" s="1">
        <v>3</v>
      </c>
      <c r="L140" s="1">
        <v>1</v>
      </c>
      <c r="M140" s="1">
        <v>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6.59</v>
      </c>
      <c r="T140" s="1">
        <v>26.71</v>
      </c>
      <c r="U140" s="1">
        <v>20.03</v>
      </c>
      <c r="V140" s="1">
        <v>14.09</v>
      </c>
      <c r="W140" s="1">
        <v>18.73</v>
      </c>
      <c r="X140" s="1">
        <v>2.09</v>
      </c>
      <c r="Y140" s="1">
        <v>60.22</v>
      </c>
      <c r="Z140" s="1">
        <v>1.75</v>
      </c>
      <c r="AA140" s="1">
        <v>54.15</v>
      </c>
      <c r="AB140" s="1">
        <v>7.17</v>
      </c>
      <c r="AC140" s="1">
        <v>0</v>
      </c>
      <c r="AD140" s="1">
        <v>49.52</v>
      </c>
      <c r="AE140" s="1">
        <v>3</v>
      </c>
      <c r="AF140" s="1">
        <v>12</v>
      </c>
      <c r="AG140" s="1">
        <v>7.28</v>
      </c>
      <c r="AH140" s="1">
        <v>11.42</v>
      </c>
      <c r="AI140" s="1">
        <v>104.54</v>
      </c>
    </row>
    <row r="141" spans="1:35" x14ac:dyDescent="0.55000000000000004">
      <c r="A141" s="1">
        <v>12876</v>
      </c>
      <c r="B141" s="1">
        <v>47.846899999999998</v>
      </c>
      <c r="C141" s="1">
        <v>-4.2443</v>
      </c>
      <c r="D141" s="1">
        <v>8</v>
      </c>
      <c r="E141" s="1" t="s">
        <v>71</v>
      </c>
      <c r="F141" s="1">
        <v>20.11</v>
      </c>
      <c r="G141" s="1">
        <v>16.899999999999999</v>
      </c>
      <c r="H141" s="1">
        <v>23.32</v>
      </c>
      <c r="I141" s="1">
        <v>6</v>
      </c>
      <c r="J141" s="1">
        <v>0.27</v>
      </c>
      <c r="K141" s="1">
        <v>3</v>
      </c>
      <c r="L141" s="1">
        <v>3</v>
      </c>
      <c r="M141" s="1">
        <v>3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6.42</v>
      </c>
      <c r="T141" s="1">
        <v>26.63</v>
      </c>
      <c r="U141" s="1">
        <v>20.57</v>
      </c>
      <c r="V141" s="1">
        <v>14.3</v>
      </c>
      <c r="W141" s="1">
        <v>19.079999999999998</v>
      </c>
      <c r="X141" s="1">
        <v>1.76</v>
      </c>
      <c r="Y141" s="1">
        <v>71.209999999999994</v>
      </c>
      <c r="Z141" s="1">
        <v>1.52</v>
      </c>
      <c r="AA141" s="1">
        <v>47.2</v>
      </c>
      <c r="AB141" s="1">
        <v>7.03</v>
      </c>
      <c r="AC141" s="1">
        <v>0</v>
      </c>
      <c r="AD141" s="1">
        <v>41.55</v>
      </c>
      <c r="AE141" s="1">
        <v>2</v>
      </c>
      <c r="AF141" s="1">
        <v>13</v>
      </c>
      <c r="AG141" s="1">
        <v>6.73</v>
      </c>
      <c r="AH141" s="1">
        <v>11.82</v>
      </c>
      <c r="AI141" s="1">
        <v>90.12</v>
      </c>
    </row>
    <row r="142" spans="1:35" x14ac:dyDescent="0.55000000000000004">
      <c r="A142" s="1">
        <v>12876</v>
      </c>
      <c r="B142" s="1">
        <v>47.846899999999998</v>
      </c>
      <c r="C142" s="1">
        <v>-4.2443</v>
      </c>
      <c r="D142" s="1">
        <v>9</v>
      </c>
      <c r="E142" s="1" t="s">
        <v>71</v>
      </c>
      <c r="F142" s="1">
        <v>18.260000000000002</v>
      </c>
      <c r="G142" s="1">
        <v>14.7</v>
      </c>
      <c r="H142" s="1">
        <v>21.81</v>
      </c>
      <c r="I142" s="1">
        <v>3</v>
      </c>
      <c r="J142" s="1">
        <v>0</v>
      </c>
      <c r="K142" s="1">
        <v>4</v>
      </c>
      <c r="L142" s="1">
        <v>3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7.11</v>
      </c>
      <c r="T142" s="1">
        <v>24.65</v>
      </c>
      <c r="U142" s="1">
        <v>18.899999999999999</v>
      </c>
      <c r="V142" s="1">
        <v>11.67</v>
      </c>
      <c r="W142" s="1">
        <v>17.350000000000001</v>
      </c>
      <c r="X142" s="1">
        <v>11.43</v>
      </c>
      <c r="Y142" s="1">
        <v>30.27</v>
      </c>
      <c r="Z142" s="1">
        <v>1.91</v>
      </c>
      <c r="AA142" s="1">
        <v>57.4</v>
      </c>
      <c r="AB142" s="1">
        <v>7.7</v>
      </c>
      <c r="AC142" s="1">
        <v>0</v>
      </c>
      <c r="AD142" s="1">
        <v>55.06</v>
      </c>
      <c r="AE142" s="1">
        <v>3</v>
      </c>
      <c r="AF142" s="1">
        <v>11</v>
      </c>
      <c r="AG142" s="1">
        <v>7.16</v>
      </c>
      <c r="AH142" s="1">
        <v>10.38</v>
      </c>
      <c r="AI142" s="1">
        <v>69.58</v>
      </c>
    </row>
    <row r="143" spans="1:35" x14ac:dyDescent="0.55000000000000004">
      <c r="A143" s="1">
        <v>12876</v>
      </c>
      <c r="B143" s="1">
        <v>47.846899999999998</v>
      </c>
      <c r="C143" s="1">
        <v>-4.2443</v>
      </c>
      <c r="D143" s="1">
        <v>10</v>
      </c>
      <c r="E143" s="1" t="s">
        <v>71</v>
      </c>
      <c r="F143" s="1">
        <v>14.77</v>
      </c>
      <c r="G143" s="1">
        <v>11.94</v>
      </c>
      <c r="H143" s="1">
        <v>17.61</v>
      </c>
      <c r="I143" s="1">
        <v>0</v>
      </c>
      <c r="J143" s="1">
        <v>0</v>
      </c>
      <c r="K143" s="1">
        <v>2</v>
      </c>
      <c r="L143" s="1">
        <v>3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5.67</v>
      </c>
      <c r="T143" s="1">
        <v>20.440000000000001</v>
      </c>
      <c r="U143" s="1">
        <v>14.61</v>
      </c>
      <c r="V143" s="1">
        <v>8.17</v>
      </c>
      <c r="W143" s="1">
        <v>14.97</v>
      </c>
      <c r="X143" s="1">
        <v>75.62</v>
      </c>
      <c r="Y143" s="1">
        <v>2.87</v>
      </c>
      <c r="Z143" s="1">
        <v>3.56</v>
      </c>
      <c r="AA143" s="1">
        <v>110.24</v>
      </c>
      <c r="AB143" s="1">
        <v>13.27</v>
      </c>
      <c r="AC143" s="1">
        <v>1</v>
      </c>
      <c r="AD143" s="1">
        <v>60.31</v>
      </c>
      <c r="AE143" s="1">
        <v>5</v>
      </c>
      <c r="AF143" s="1">
        <v>8</v>
      </c>
      <c r="AG143" s="1">
        <v>7.94</v>
      </c>
      <c r="AH143" s="1">
        <v>9.0399999999999991</v>
      </c>
      <c r="AI143" s="1">
        <v>37.299999999999997</v>
      </c>
    </row>
    <row r="144" spans="1:35" x14ac:dyDescent="0.55000000000000004">
      <c r="A144" s="1">
        <v>12876</v>
      </c>
      <c r="B144" s="1">
        <v>47.846899999999998</v>
      </c>
      <c r="C144" s="1">
        <v>-4.2443</v>
      </c>
      <c r="D144" s="1">
        <v>11</v>
      </c>
      <c r="E144" s="1" t="s">
        <v>71</v>
      </c>
      <c r="F144" s="1">
        <v>11.67</v>
      </c>
      <c r="G144" s="1">
        <v>9.27</v>
      </c>
      <c r="H144" s="1">
        <v>14.07</v>
      </c>
      <c r="I144" s="1">
        <v>0</v>
      </c>
      <c r="J144" s="1">
        <v>0</v>
      </c>
      <c r="K144" s="1">
        <v>3</v>
      </c>
      <c r="L144" s="1">
        <v>6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4.79</v>
      </c>
      <c r="T144" s="1">
        <v>16.66</v>
      </c>
      <c r="U144" s="1">
        <v>10.56</v>
      </c>
      <c r="V144" s="1">
        <v>4.6900000000000004</v>
      </c>
      <c r="W144" s="1">
        <v>12.87</v>
      </c>
      <c r="X144" s="1">
        <v>160.06</v>
      </c>
      <c r="Y144" s="1">
        <v>0</v>
      </c>
      <c r="Z144" s="1">
        <v>3.65</v>
      </c>
      <c r="AA144" s="1">
        <v>109.43</v>
      </c>
      <c r="AB144" s="1">
        <v>13.43</v>
      </c>
      <c r="AC144" s="1">
        <v>1</v>
      </c>
      <c r="AD144" s="1">
        <v>67.239999999999995</v>
      </c>
      <c r="AE144" s="1">
        <v>5</v>
      </c>
      <c r="AF144" s="1">
        <v>7</v>
      </c>
      <c r="AG144" s="1">
        <v>8.1199999999999992</v>
      </c>
      <c r="AH144" s="1">
        <v>7.68</v>
      </c>
      <c r="AI144" s="1">
        <v>20.079999999999998</v>
      </c>
    </row>
    <row r="145" spans="1:35" x14ac:dyDescent="0.55000000000000004">
      <c r="A145" s="1">
        <v>12876</v>
      </c>
      <c r="B145" s="1">
        <v>47.846899999999998</v>
      </c>
      <c r="C145" s="1">
        <v>-4.2443</v>
      </c>
      <c r="D145" s="1">
        <v>12</v>
      </c>
      <c r="E145" s="1" t="s">
        <v>71</v>
      </c>
      <c r="F145" s="1">
        <v>9.32</v>
      </c>
      <c r="G145" s="1">
        <v>7.45</v>
      </c>
      <c r="H145" s="1">
        <v>11.19</v>
      </c>
      <c r="I145" s="1">
        <v>0</v>
      </c>
      <c r="J145" s="1">
        <v>0</v>
      </c>
      <c r="K145" s="1">
        <v>1</v>
      </c>
      <c r="L145" s="1">
        <v>5</v>
      </c>
      <c r="M145" s="1">
        <v>0</v>
      </c>
      <c r="N145" s="1">
        <v>1</v>
      </c>
      <c r="O145" s="1">
        <v>2</v>
      </c>
      <c r="P145" s="1">
        <v>0</v>
      </c>
      <c r="Q145" s="1">
        <v>0</v>
      </c>
      <c r="R145" s="1">
        <v>0</v>
      </c>
      <c r="S145" s="1">
        <v>3.74</v>
      </c>
      <c r="T145" s="1">
        <v>13.81</v>
      </c>
      <c r="U145" s="1">
        <v>7.6</v>
      </c>
      <c r="V145" s="1">
        <v>2.59</v>
      </c>
      <c r="W145" s="1">
        <v>11.31</v>
      </c>
      <c r="X145" s="1">
        <v>238.02</v>
      </c>
      <c r="Y145" s="1">
        <v>0</v>
      </c>
      <c r="Z145" s="1">
        <v>4.03</v>
      </c>
      <c r="AA145" s="1">
        <v>124.86</v>
      </c>
      <c r="AB145" s="1">
        <v>14.7</v>
      </c>
      <c r="AC145" s="1">
        <v>0</v>
      </c>
      <c r="AD145" s="1">
        <v>62.51</v>
      </c>
      <c r="AE145" s="1">
        <v>5</v>
      </c>
      <c r="AF145" s="1">
        <v>7</v>
      </c>
      <c r="AG145" s="1">
        <v>8.24</v>
      </c>
      <c r="AH145" s="1">
        <v>6.64</v>
      </c>
      <c r="AI145" s="1">
        <v>15.7</v>
      </c>
    </row>
    <row r="146" spans="1:35" x14ac:dyDescent="0.55000000000000004">
      <c r="A146">
        <v>12732</v>
      </c>
      <c r="B146">
        <v>47.769100000000002</v>
      </c>
      <c r="C146">
        <v>-4.3418000000000001</v>
      </c>
      <c r="D146">
        <v>1</v>
      </c>
      <c r="E146" t="s">
        <v>72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20.56</v>
      </c>
    </row>
    <row r="147" spans="1:35" x14ac:dyDescent="0.55000000000000004">
      <c r="A147">
        <v>12732</v>
      </c>
      <c r="B147">
        <v>47.769100000000002</v>
      </c>
      <c r="C147">
        <v>-4.3418000000000001</v>
      </c>
      <c r="D147">
        <v>2</v>
      </c>
      <c r="E147" t="s">
        <v>72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25.74</v>
      </c>
    </row>
    <row r="148" spans="1:35" x14ac:dyDescent="0.55000000000000004">
      <c r="A148">
        <v>12732</v>
      </c>
      <c r="B148">
        <v>47.769100000000002</v>
      </c>
      <c r="C148">
        <v>-4.3418000000000001</v>
      </c>
      <c r="D148">
        <v>3</v>
      </c>
      <c r="E148" t="s">
        <v>72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44.91</v>
      </c>
    </row>
    <row r="149" spans="1:35" x14ac:dyDescent="0.55000000000000004">
      <c r="A149">
        <v>12732</v>
      </c>
      <c r="B149">
        <v>47.769100000000002</v>
      </c>
      <c r="C149">
        <v>-4.3418000000000001</v>
      </c>
      <c r="D149">
        <v>4</v>
      </c>
      <c r="E149" t="s">
        <v>72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66.37</v>
      </c>
    </row>
    <row r="150" spans="1:35" x14ac:dyDescent="0.55000000000000004">
      <c r="A150">
        <v>12732</v>
      </c>
      <c r="B150">
        <v>47.769100000000002</v>
      </c>
      <c r="C150">
        <v>-4.3418000000000001</v>
      </c>
      <c r="D150">
        <v>5</v>
      </c>
      <c r="E150" t="s">
        <v>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97.16</v>
      </c>
    </row>
    <row r="151" spans="1:35" x14ac:dyDescent="0.55000000000000004">
      <c r="A151">
        <v>12732</v>
      </c>
      <c r="B151">
        <v>47.769100000000002</v>
      </c>
      <c r="C151">
        <v>-4.3418000000000001</v>
      </c>
      <c r="D151">
        <v>6</v>
      </c>
      <c r="E151" t="s">
        <v>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92.72</v>
      </c>
    </row>
    <row r="152" spans="1:35" x14ac:dyDescent="0.55000000000000004">
      <c r="A152">
        <v>12732</v>
      </c>
      <c r="B152">
        <v>47.769100000000002</v>
      </c>
      <c r="C152">
        <v>-4.3418000000000001</v>
      </c>
      <c r="D152">
        <v>7</v>
      </c>
      <c r="E152" t="s">
        <v>72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99.25</v>
      </c>
    </row>
    <row r="153" spans="1:35" x14ac:dyDescent="0.55000000000000004">
      <c r="A153">
        <v>12732</v>
      </c>
      <c r="B153">
        <v>47.769100000000002</v>
      </c>
      <c r="C153">
        <v>-4.3418000000000001</v>
      </c>
      <c r="D153">
        <v>8</v>
      </c>
      <c r="E153" t="s">
        <v>72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85.95</v>
      </c>
    </row>
    <row r="154" spans="1:35" x14ac:dyDescent="0.55000000000000004">
      <c r="A154">
        <v>12732</v>
      </c>
      <c r="B154">
        <v>47.769100000000002</v>
      </c>
      <c r="C154">
        <v>-4.3418000000000001</v>
      </c>
      <c r="D154">
        <v>9</v>
      </c>
      <c r="E154" t="s">
        <v>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69.48</v>
      </c>
    </row>
    <row r="155" spans="1:35" x14ac:dyDescent="0.55000000000000004">
      <c r="A155">
        <v>12732</v>
      </c>
      <c r="B155">
        <v>47.769100000000002</v>
      </c>
      <c r="C155">
        <v>-4.3418000000000001</v>
      </c>
      <c r="D155">
        <v>10</v>
      </c>
      <c r="E155" t="s">
        <v>72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40.06</v>
      </c>
    </row>
    <row r="156" spans="1:35" x14ac:dyDescent="0.55000000000000004">
      <c r="A156">
        <v>12732</v>
      </c>
      <c r="B156">
        <v>47.769100000000002</v>
      </c>
      <c r="C156">
        <v>-4.3418000000000001</v>
      </c>
      <c r="D156">
        <v>11</v>
      </c>
      <c r="E156" t="s">
        <v>72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21.62</v>
      </c>
    </row>
    <row r="157" spans="1:35" x14ac:dyDescent="0.55000000000000004">
      <c r="A157">
        <v>12732</v>
      </c>
      <c r="B157">
        <v>47.769100000000002</v>
      </c>
      <c r="C157">
        <v>-4.3418000000000001</v>
      </c>
      <c r="D157">
        <v>12</v>
      </c>
      <c r="E157" t="s">
        <v>72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17.899999999999999</v>
      </c>
    </row>
    <row r="158" spans="1:35" x14ac:dyDescent="0.55000000000000004">
      <c r="A158">
        <v>12733</v>
      </c>
      <c r="B158">
        <v>47.775199999999998</v>
      </c>
      <c r="C158">
        <v>-4.2354000000000003</v>
      </c>
      <c r="D158">
        <v>1</v>
      </c>
      <c r="E158" t="s">
        <v>72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19.21</v>
      </c>
    </row>
    <row r="159" spans="1:35" x14ac:dyDescent="0.55000000000000004">
      <c r="A159">
        <v>12733</v>
      </c>
      <c r="B159">
        <v>47.775199999999998</v>
      </c>
      <c r="C159">
        <v>-4.2354000000000003</v>
      </c>
      <c r="D159">
        <v>2</v>
      </c>
      <c r="E159" t="s">
        <v>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24.66</v>
      </c>
    </row>
    <row r="160" spans="1:35" x14ac:dyDescent="0.55000000000000004">
      <c r="A160">
        <v>12733</v>
      </c>
      <c r="B160">
        <v>47.775199999999998</v>
      </c>
      <c r="C160">
        <v>-4.2354000000000003</v>
      </c>
      <c r="D160">
        <v>3</v>
      </c>
      <c r="E160" t="s">
        <v>72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46.15</v>
      </c>
    </row>
    <row r="161" spans="1:35" x14ac:dyDescent="0.55000000000000004">
      <c r="A161">
        <v>12733</v>
      </c>
      <c r="B161">
        <v>47.775199999999998</v>
      </c>
      <c r="C161">
        <v>-4.2354000000000003</v>
      </c>
      <c r="D161">
        <v>4</v>
      </c>
      <c r="E161" t="s">
        <v>72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68.650000000000006</v>
      </c>
    </row>
    <row r="162" spans="1:35" x14ac:dyDescent="0.55000000000000004">
      <c r="A162">
        <v>12733</v>
      </c>
      <c r="B162">
        <v>47.775199999999998</v>
      </c>
      <c r="C162">
        <v>-4.2354000000000003</v>
      </c>
      <c r="D162">
        <v>5</v>
      </c>
      <c r="E162" t="s">
        <v>72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99.55</v>
      </c>
    </row>
    <row r="163" spans="1:35" x14ac:dyDescent="0.55000000000000004">
      <c r="A163">
        <v>12733</v>
      </c>
      <c r="B163">
        <v>47.775199999999998</v>
      </c>
      <c r="C163">
        <v>-4.2354000000000003</v>
      </c>
      <c r="D163">
        <v>6</v>
      </c>
      <c r="E163" t="s">
        <v>72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99.97</v>
      </c>
    </row>
    <row r="164" spans="1:35" x14ac:dyDescent="0.55000000000000004">
      <c r="A164">
        <v>12733</v>
      </c>
      <c r="B164">
        <v>47.775199999999998</v>
      </c>
      <c r="C164">
        <v>-4.2354000000000003</v>
      </c>
      <c r="D164">
        <v>7</v>
      </c>
      <c r="E164" t="s">
        <v>72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107.07</v>
      </c>
    </row>
    <row r="165" spans="1:35" x14ac:dyDescent="0.55000000000000004">
      <c r="A165">
        <v>12733</v>
      </c>
      <c r="B165">
        <v>47.775199999999998</v>
      </c>
      <c r="C165">
        <v>-4.2354000000000003</v>
      </c>
      <c r="D165">
        <v>8</v>
      </c>
      <c r="E165" t="s">
        <v>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93.04</v>
      </c>
    </row>
    <row r="166" spans="1:35" x14ac:dyDescent="0.55000000000000004">
      <c r="A166">
        <v>12733</v>
      </c>
      <c r="B166">
        <v>47.775199999999998</v>
      </c>
      <c r="C166">
        <v>-4.2354000000000003</v>
      </c>
      <c r="D166">
        <v>9</v>
      </c>
      <c r="E166" t="s">
        <v>72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72.11</v>
      </c>
    </row>
    <row r="167" spans="1:35" x14ac:dyDescent="0.55000000000000004">
      <c r="A167">
        <v>12733</v>
      </c>
      <c r="B167">
        <v>47.775199999999998</v>
      </c>
      <c r="C167">
        <v>-4.2354000000000003</v>
      </c>
      <c r="D167">
        <v>10</v>
      </c>
      <c r="E167" t="s">
        <v>72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41.71</v>
      </c>
    </row>
    <row r="168" spans="1:35" x14ac:dyDescent="0.55000000000000004">
      <c r="A168">
        <v>12733</v>
      </c>
      <c r="B168">
        <v>47.775199999999998</v>
      </c>
      <c r="C168">
        <v>-4.2354000000000003</v>
      </c>
      <c r="D168">
        <v>11</v>
      </c>
      <c r="E168" t="s">
        <v>72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21.45</v>
      </c>
    </row>
    <row r="169" spans="1:35" x14ac:dyDescent="0.55000000000000004">
      <c r="A169">
        <v>12733</v>
      </c>
      <c r="B169">
        <v>47.775199999999998</v>
      </c>
      <c r="C169">
        <v>-4.2354000000000003</v>
      </c>
      <c r="D169">
        <v>12</v>
      </c>
      <c r="E169" t="s">
        <v>72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16.57</v>
      </c>
    </row>
    <row r="170" spans="1:35" x14ac:dyDescent="0.55000000000000004">
      <c r="A170">
        <v>12875</v>
      </c>
      <c r="B170">
        <v>47.840800000000002</v>
      </c>
      <c r="C170">
        <v>-4.3507999999999996</v>
      </c>
      <c r="D170">
        <v>1</v>
      </c>
      <c r="E170" t="s">
        <v>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20.54</v>
      </c>
    </row>
    <row r="171" spans="1:35" x14ac:dyDescent="0.55000000000000004">
      <c r="A171">
        <v>12875</v>
      </c>
      <c r="B171">
        <v>47.840800000000002</v>
      </c>
      <c r="C171">
        <v>-4.3507999999999996</v>
      </c>
      <c r="D171">
        <v>2</v>
      </c>
      <c r="E171" t="s">
        <v>72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25.69</v>
      </c>
    </row>
    <row r="172" spans="1:35" x14ac:dyDescent="0.55000000000000004">
      <c r="A172">
        <v>12875</v>
      </c>
      <c r="B172">
        <v>47.840800000000002</v>
      </c>
      <c r="C172">
        <v>-4.3507999999999996</v>
      </c>
      <c r="D172">
        <v>3</v>
      </c>
      <c r="E172" t="s">
        <v>72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44.8</v>
      </c>
    </row>
    <row r="173" spans="1:35" x14ac:dyDescent="0.55000000000000004">
      <c r="A173">
        <v>12875</v>
      </c>
      <c r="B173">
        <v>47.840800000000002</v>
      </c>
      <c r="C173">
        <v>-4.3507999999999996</v>
      </c>
      <c r="D173">
        <v>4</v>
      </c>
      <c r="E173" t="s">
        <v>72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66.16</v>
      </c>
    </row>
    <row r="174" spans="1:35" x14ac:dyDescent="0.55000000000000004">
      <c r="A174">
        <v>12875</v>
      </c>
      <c r="B174">
        <v>47.840800000000002</v>
      </c>
      <c r="C174">
        <v>-4.3507999999999996</v>
      </c>
      <c r="D174">
        <v>5</v>
      </c>
      <c r="E174" t="s">
        <v>72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96.95</v>
      </c>
    </row>
    <row r="175" spans="1:35" x14ac:dyDescent="0.55000000000000004">
      <c r="A175">
        <v>12875</v>
      </c>
      <c r="B175">
        <v>47.840800000000002</v>
      </c>
      <c r="C175">
        <v>-4.3507999999999996</v>
      </c>
      <c r="D175">
        <v>6</v>
      </c>
      <c r="E175" t="s">
        <v>72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92.48</v>
      </c>
    </row>
    <row r="176" spans="1:35" x14ac:dyDescent="0.55000000000000004">
      <c r="A176">
        <v>12875</v>
      </c>
      <c r="B176">
        <v>47.840800000000002</v>
      </c>
      <c r="C176">
        <v>-4.3507999999999996</v>
      </c>
      <c r="D176">
        <v>7</v>
      </c>
      <c r="E176" t="s">
        <v>72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99.18</v>
      </c>
    </row>
    <row r="177" spans="1:35" x14ac:dyDescent="0.55000000000000004">
      <c r="A177">
        <v>12875</v>
      </c>
      <c r="B177">
        <v>47.840800000000002</v>
      </c>
      <c r="C177">
        <v>-4.3507999999999996</v>
      </c>
      <c r="D177">
        <v>8</v>
      </c>
      <c r="E177" t="s">
        <v>72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85.94</v>
      </c>
    </row>
    <row r="178" spans="1:35" x14ac:dyDescent="0.55000000000000004">
      <c r="A178">
        <v>12875</v>
      </c>
      <c r="B178">
        <v>47.840800000000002</v>
      </c>
      <c r="C178">
        <v>-4.3507999999999996</v>
      </c>
      <c r="D178">
        <v>9</v>
      </c>
      <c r="E178" t="s">
        <v>72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69.209999999999994</v>
      </c>
    </row>
    <row r="179" spans="1:35" x14ac:dyDescent="0.55000000000000004">
      <c r="A179">
        <v>12875</v>
      </c>
      <c r="B179">
        <v>47.840800000000002</v>
      </c>
      <c r="C179">
        <v>-4.3507999999999996</v>
      </c>
      <c r="D179">
        <v>10</v>
      </c>
      <c r="E179" t="s">
        <v>72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39.94</v>
      </c>
    </row>
    <row r="180" spans="1:35" x14ac:dyDescent="0.55000000000000004">
      <c r="A180">
        <v>12875</v>
      </c>
      <c r="B180">
        <v>47.840800000000002</v>
      </c>
      <c r="C180">
        <v>-4.3507999999999996</v>
      </c>
      <c r="D180">
        <v>11</v>
      </c>
      <c r="E180" t="s">
        <v>72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21.59</v>
      </c>
    </row>
    <row r="181" spans="1:35" x14ac:dyDescent="0.55000000000000004">
      <c r="A181">
        <v>12875</v>
      </c>
      <c r="B181">
        <v>47.840800000000002</v>
      </c>
      <c r="C181">
        <v>-4.3507999999999996</v>
      </c>
      <c r="D181">
        <v>12</v>
      </c>
      <c r="E181" t="s">
        <v>72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17.899999999999999</v>
      </c>
    </row>
    <row r="182" spans="1:35" x14ac:dyDescent="0.55000000000000004">
      <c r="A182">
        <v>12876</v>
      </c>
      <c r="B182">
        <v>47.846899999999998</v>
      </c>
      <c r="C182">
        <v>-4.2443</v>
      </c>
      <c r="D182">
        <v>1</v>
      </c>
      <c r="E182" t="s">
        <v>72</v>
      </c>
      <c r="F182">
        <v>9.86</v>
      </c>
      <c r="G182">
        <v>7.93</v>
      </c>
      <c r="H182">
        <v>11.79</v>
      </c>
      <c r="I182">
        <v>0</v>
      </c>
      <c r="J182">
        <v>0</v>
      </c>
      <c r="K182">
        <v>6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3.86</v>
      </c>
      <c r="T182">
        <v>14.05</v>
      </c>
      <c r="U182">
        <v>8.41</v>
      </c>
      <c r="V182">
        <v>2.93</v>
      </c>
      <c r="W182">
        <v>11.37</v>
      </c>
      <c r="X182">
        <v>221.39</v>
      </c>
      <c r="Y182">
        <v>0</v>
      </c>
      <c r="Z182">
        <v>3.78</v>
      </c>
      <c r="AA182">
        <v>117.11</v>
      </c>
      <c r="AB182">
        <v>13.6</v>
      </c>
      <c r="AC182">
        <v>1</v>
      </c>
      <c r="AD182">
        <v>65.64</v>
      </c>
      <c r="AE182">
        <v>5</v>
      </c>
      <c r="AF182">
        <v>8</v>
      </c>
      <c r="AG182">
        <v>8.17</v>
      </c>
      <c r="AH182">
        <v>6.76</v>
      </c>
      <c r="AI182">
        <v>19.14</v>
      </c>
    </row>
    <row r="183" spans="1:35" x14ac:dyDescent="0.55000000000000004">
      <c r="A183">
        <v>12876</v>
      </c>
      <c r="B183">
        <v>47.846899999999998</v>
      </c>
      <c r="C183">
        <v>-4.2443</v>
      </c>
      <c r="D183">
        <v>2</v>
      </c>
      <c r="E183" t="s">
        <v>72</v>
      </c>
      <c r="F183">
        <v>9.7899999999999991</v>
      </c>
      <c r="G183">
        <v>7.71</v>
      </c>
      <c r="H183">
        <v>11.87</v>
      </c>
      <c r="I183">
        <v>0</v>
      </c>
      <c r="J183">
        <v>0</v>
      </c>
      <c r="K183">
        <v>3</v>
      </c>
      <c r="L183">
        <v>11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4.17</v>
      </c>
      <c r="T183">
        <v>13.94</v>
      </c>
      <c r="U183">
        <v>9.1999999999999993</v>
      </c>
      <c r="V183">
        <v>3.24</v>
      </c>
      <c r="W183">
        <v>10.91</v>
      </c>
      <c r="X183">
        <v>203.66</v>
      </c>
      <c r="Y183">
        <v>0</v>
      </c>
      <c r="Z183">
        <v>3.57</v>
      </c>
      <c r="AA183">
        <v>100.85</v>
      </c>
      <c r="AB183">
        <v>13.27</v>
      </c>
      <c r="AC183">
        <v>0</v>
      </c>
      <c r="AD183">
        <v>55.72</v>
      </c>
      <c r="AE183">
        <v>5</v>
      </c>
      <c r="AF183">
        <v>7</v>
      </c>
      <c r="AG183">
        <v>7.38</v>
      </c>
      <c r="AH183">
        <v>6.62</v>
      </c>
      <c r="AI183">
        <v>24.52</v>
      </c>
    </row>
    <row r="184" spans="1:35" x14ac:dyDescent="0.55000000000000004">
      <c r="A184">
        <v>12876</v>
      </c>
      <c r="B184">
        <v>47.846899999999998</v>
      </c>
      <c r="C184">
        <v>-4.2443</v>
      </c>
      <c r="D184">
        <v>3</v>
      </c>
      <c r="E184" t="s">
        <v>72</v>
      </c>
      <c r="F184">
        <v>10.96</v>
      </c>
      <c r="G184">
        <v>8.14</v>
      </c>
      <c r="H184">
        <v>13.79</v>
      </c>
      <c r="I184">
        <v>0</v>
      </c>
      <c r="J184">
        <v>0</v>
      </c>
      <c r="K184">
        <v>5</v>
      </c>
      <c r="L184">
        <v>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5.65</v>
      </c>
      <c r="T184">
        <v>17.149999999999999</v>
      </c>
      <c r="U184">
        <v>10.38</v>
      </c>
      <c r="V184">
        <v>3.84</v>
      </c>
      <c r="W184">
        <v>12.14</v>
      </c>
      <c r="X184">
        <v>187.84</v>
      </c>
      <c r="Y184">
        <v>0.27</v>
      </c>
      <c r="Z184">
        <v>3.16</v>
      </c>
      <c r="AA184">
        <v>98.01</v>
      </c>
      <c r="AB184">
        <v>13.43</v>
      </c>
      <c r="AC184">
        <v>0</v>
      </c>
      <c r="AD184">
        <v>58.61</v>
      </c>
      <c r="AE184">
        <v>5</v>
      </c>
      <c r="AF184">
        <v>8</v>
      </c>
      <c r="AG184">
        <v>7.09</v>
      </c>
      <c r="AH184">
        <v>6.81</v>
      </c>
      <c r="AI184">
        <v>45.92</v>
      </c>
    </row>
    <row r="185" spans="1:35" x14ac:dyDescent="0.55000000000000004">
      <c r="A185">
        <v>12876</v>
      </c>
      <c r="B185">
        <v>47.846899999999998</v>
      </c>
      <c r="C185">
        <v>-4.2443</v>
      </c>
      <c r="D185">
        <v>4</v>
      </c>
      <c r="E185" t="s">
        <v>72</v>
      </c>
      <c r="F185">
        <v>13.44</v>
      </c>
      <c r="G185">
        <v>10.38</v>
      </c>
      <c r="H185">
        <v>16.510000000000002</v>
      </c>
      <c r="I185">
        <v>0</v>
      </c>
      <c r="J185">
        <v>0</v>
      </c>
      <c r="K185">
        <v>6</v>
      </c>
      <c r="L185">
        <v>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6.13</v>
      </c>
      <c r="T185">
        <v>20.62</v>
      </c>
      <c r="U185">
        <v>12.85</v>
      </c>
      <c r="V185">
        <v>7.09</v>
      </c>
      <c r="W185">
        <v>13.45</v>
      </c>
      <c r="X185">
        <v>112.48</v>
      </c>
      <c r="Y185">
        <v>3.5</v>
      </c>
      <c r="Z185">
        <v>2.39</v>
      </c>
      <c r="AA185">
        <v>71.84</v>
      </c>
      <c r="AB185">
        <v>11.23</v>
      </c>
      <c r="AC185">
        <v>0</v>
      </c>
      <c r="AD185">
        <v>50.49</v>
      </c>
      <c r="AE185">
        <v>4</v>
      </c>
      <c r="AF185">
        <v>9</v>
      </c>
      <c r="AG185">
        <v>6.6</v>
      </c>
      <c r="AH185">
        <v>7.68</v>
      </c>
      <c r="AI185">
        <v>68.239999999999995</v>
      </c>
    </row>
    <row r="186" spans="1:35" x14ac:dyDescent="0.55000000000000004">
      <c r="A186">
        <v>12876</v>
      </c>
      <c r="B186">
        <v>47.846899999999998</v>
      </c>
      <c r="C186">
        <v>-4.2443</v>
      </c>
      <c r="D186">
        <v>5</v>
      </c>
      <c r="E186" t="s">
        <v>72</v>
      </c>
      <c r="F186">
        <v>16.93</v>
      </c>
      <c r="G186">
        <v>13.7</v>
      </c>
      <c r="H186">
        <v>20.149999999999999</v>
      </c>
      <c r="I186">
        <v>4</v>
      </c>
      <c r="J186">
        <v>0.03</v>
      </c>
      <c r="K186">
        <v>9</v>
      </c>
      <c r="L186">
        <v>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</v>
      </c>
      <c r="S186">
        <v>6.45</v>
      </c>
      <c r="T186">
        <v>24.93</v>
      </c>
      <c r="U186">
        <v>16.03</v>
      </c>
      <c r="V186">
        <v>10.28</v>
      </c>
      <c r="W186">
        <v>16.72</v>
      </c>
      <c r="X186">
        <v>41.05</v>
      </c>
      <c r="Y186">
        <v>27.31</v>
      </c>
      <c r="Z186">
        <v>1.93</v>
      </c>
      <c r="AA186">
        <v>59.86</v>
      </c>
      <c r="AB186">
        <v>9.3000000000000007</v>
      </c>
      <c r="AC186">
        <v>0</v>
      </c>
      <c r="AD186">
        <v>40.74</v>
      </c>
      <c r="AE186">
        <v>3</v>
      </c>
      <c r="AF186">
        <v>10</v>
      </c>
      <c r="AG186">
        <v>6.14</v>
      </c>
      <c r="AH186">
        <v>9.09</v>
      </c>
      <c r="AI186">
        <v>98.97</v>
      </c>
    </row>
    <row r="187" spans="1:35" x14ac:dyDescent="0.55000000000000004">
      <c r="A187">
        <v>12876</v>
      </c>
      <c r="B187">
        <v>47.846899999999998</v>
      </c>
      <c r="C187">
        <v>-4.2443</v>
      </c>
      <c r="D187">
        <v>6</v>
      </c>
      <c r="E187" t="s">
        <v>72</v>
      </c>
      <c r="F187">
        <v>18.18</v>
      </c>
      <c r="G187">
        <v>14.87</v>
      </c>
      <c r="H187">
        <v>21.49</v>
      </c>
      <c r="I187">
        <v>4</v>
      </c>
      <c r="J187">
        <v>0</v>
      </c>
      <c r="K187">
        <v>6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6.63</v>
      </c>
      <c r="T187">
        <v>25.35</v>
      </c>
      <c r="U187">
        <v>17.98</v>
      </c>
      <c r="V187">
        <v>12.27</v>
      </c>
      <c r="W187">
        <v>17.350000000000001</v>
      </c>
      <c r="X187">
        <v>13.71</v>
      </c>
      <c r="Y187">
        <v>32.14</v>
      </c>
      <c r="Z187">
        <v>1.63</v>
      </c>
      <c r="AA187">
        <v>48.85</v>
      </c>
      <c r="AB187">
        <v>6.93</v>
      </c>
      <c r="AC187">
        <v>0</v>
      </c>
      <c r="AD187">
        <v>46.38</v>
      </c>
      <c r="AE187">
        <v>3</v>
      </c>
      <c r="AF187">
        <v>12</v>
      </c>
      <c r="AG187">
        <v>6.42</v>
      </c>
      <c r="AH187">
        <v>10.52</v>
      </c>
      <c r="AI187">
        <v>99.39</v>
      </c>
    </row>
    <row r="188" spans="1:35" x14ac:dyDescent="0.55000000000000004">
      <c r="A188">
        <v>12876</v>
      </c>
      <c r="B188">
        <v>47.846899999999998</v>
      </c>
      <c r="C188">
        <v>-4.2443</v>
      </c>
      <c r="D188">
        <v>7</v>
      </c>
      <c r="E188" t="s">
        <v>72</v>
      </c>
      <c r="F188">
        <v>20.8</v>
      </c>
      <c r="G188">
        <v>17.559999999999999</v>
      </c>
      <c r="H188">
        <v>24.04</v>
      </c>
      <c r="I188">
        <v>8</v>
      </c>
      <c r="J188">
        <v>0.43</v>
      </c>
      <c r="K188">
        <v>5</v>
      </c>
      <c r="L188">
        <v>4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6.48</v>
      </c>
      <c r="T188">
        <v>27.33</v>
      </c>
      <c r="U188">
        <v>20.96</v>
      </c>
      <c r="V188">
        <v>15.01</v>
      </c>
      <c r="W188">
        <v>19.72</v>
      </c>
      <c r="X188">
        <v>1.2</v>
      </c>
      <c r="Y188">
        <v>90.12</v>
      </c>
      <c r="Z188">
        <v>1.37</v>
      </c>
      <c r="AA188">
        <v>42.58</v>
      </c>
      <c r="AB188">
        <v>6.43</v>
      </c>
      <c r="AC188">
        <v>0</v>
      </c>
      <c r="AD188">
        <v>42.29</v>
      </c>
      <c r="AE188">
        <v>2</v>
      </c>
      <c r="AF188">
        <v>12</v>
      </c>
      <c r="AG188">
        <v>5.6</v>
      </c>
      <c r="AH188">
        <v>12.23</v>
      </c>
      <c r="AI188">
        <v>106.68</v>
      </c>
    </row>
    <row r="189" spans="1:35" x14ac:dyDescent="0.55000000000000004">
      <c r="A189">
        <v>12876</v>
      </c>
      <c r="B189">
        <v>47.846899999999998</v>
      </c>
      <c r="C189">
        <v>-4.2443</v>
      </c>
      <c r="D189">
        <v>8</v>
      </c>
      <c r="E189" t="s">
        <v>72</v>
      </c>
      <c r="F189">
        <v>21.61</v>
      </c>
      <c r="G189">
        <v>18.57</v>
      </c>
      <c r="H189">
        <v>24.65</v>
      </c>
      <c r="I189">
        <v>10</v>
      </c>
      <c r="J189">
        <v>0.37</v>
      </c>
      <c r="K189">
        <v>5</v>
      </c>
      <c r="L189">
        <v>8</v>
      </c>
      <c r="M189">
        <v>8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6.08</v>
      </c>
      <c r="T189">
        <v>27.58</v>
      </c>
      <c r="U189">
        <v>22.2</v>
      </c>
      <c r="V189">
        <v>15.89</v>
      </c>
      <c r="W189">
        <v>20.84</v>
      </c>
      <c r="X189">
        <v>0.01</v>
      </c>
      <c r="Y189">
        <v>112.25</v>
      </c>
      <c r="Z189">
        <v>1.48</v>
      </c>
      <c r="AA189">
        <v>45.93</v>
      </c>
      <c r="AB189">
        <v>6.53</v>
      </c>
      <c r="AC189">
        <v>0</v>
      </c>
      <c r="AD189">
        <v>44.47</v>
      </c>
      <c r="AE189">
        <v>2</v>
      </c>
      <c r="AF189">
        <v>14</v>
      </c>
      <c r="AG189">
        <v>6.3</v>
      </c>
      <c r="AH189">
        <v>12.91</v>
      </c>
      <c r="AI189">
        <v>92.83</v>
      </c>
    </row>
    <row r="190" spans="1:35" x14ac:dyDescent="0.55000000000000004">
      <c r="A190">
        <v>12876</v>
      </c>
      <c r="B190">
        <v>47.846899999999998</v>
      </c>
      <c r="C190">
        <v>-4.2443</v>
      </c>
      <c r="D190">
        <v>9</v>
      </c>
      <c r="E190" t="s">
        <v>72</v>
      </c>
      <c r="F190">
        <v>20</v>
      </c>
      <c r="G190">
        <v>16.559999999999999</v>
      </c>
      <c r="H190">
        <v>23.44</v>
      </c>
      <c r="I190">
        <v>7</v>
      </c>
      <c r="J190">
        <v>0</v>
      </c>
      <c r="K190">
        <v>9</v>
      </c>
      <c r="L190">
        <v>9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6.88</v>
      </c>
      <c r="T190">
        <v>26.01</v>
      </c>
      <c r="U190">
        <v>20.67</v>
      </c>
      <c r="V190">
        <v>13.7</v>
      </c>
      <c r="W190">
        <v>19.13</v>
      </c>
      <c r="X190">
        <v>1.87</v>
      </c>
      <c r="Y190">
        <v>65.540000000000006</v>
      </c>
      <c r="Z190">
        <v>2.36</v>
      </c>
      <c r="AA190">
        <v>70.7</v>
      </c>
      <c r="AB190">
        <v>8.43</v>
      </c>
      <c r="AC190">
        <v>0</v>
      </c>
      <c r="AD190">
        <v>50.21</v>
      </c>
      <c r="AE190">
        <v>3</v>
      </c>
      <c r="AF190">
        <v>12</v>
      </c>
      <c r="AG190">
        <v>7.55</v>
      </c>
      <c r="AH190">
        <v>11.62</v>
      </c>
      <c r="AI190">
        <v>71.760000000000005</v>
      </c>
    </row>
    <row r="191" spans="1:35" x14ac:dyDescent="0.55000000000000004">
      <c r="A191">
        <v>12876</v>
      </c>
      <c r="B191">
        <v>47.846899999999998</v>
      </c>
      <c r="C191">
        <v>-4.2443</v>
      </c>
      <c r="D191">
        <v>10</v>
      </c>
      <c r="E191" t="s">
        <v>72</v>
      </c>
      <c r="F191">
        <v>16.37</v>
      </c>
      <c r="G191">
        <v>13.34</v>
      </c>
      <c r="H191">
        <v>19.399999999999999</v>
      </c>
      <c r="I191">
        <v>0</v>
      </c>
      <c r="J191">
        <v>0</v>
      </c>
      <c r="K191">
        <v>8</v>
      </c>
      <c r="L191">
        <v>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</v>
      </c>
      <c r="S191">
        <v>6.07</v>
      </c>
      <c r="T191">
        <v>22.09</v>
      </c>
      <c r="U191">
        <v>16.25</v>
      </c>
      <c r="V191">
        <v>9.66</v>
      </c>
      <c r="W191">
        <v>16.3</v>
      </c>
      <c r="X191">
        <v>40.83</v>
      </c>
      <c r="Y191">
        <v>10.78</v>
      </c>
      <c r="Z191">
        <v>2.95</v>
      </c>
      <c r="AA191">
        <v>91.35</v>
      </c>
      <c r="AB191">
        <v>10.97</v>
      </c>
      <c r="AC191">
        <v>0</v>
      </c>
      <c r="AD191">
        <v>64.2</v>
      </c>
      <c r="AE191">
        <v>4</v>
      </c>
      <c r="AF191">
        <v>9</v>
      </c>
      <c r="AG191">
        <v>8.3000000000000007</v>
      </c>
      <c r="AH191">
        <v>9.9</v>
      </c>
      <c r="AI191">
        <v>41.52</v>
      </c>
    </row>
    <row r="192" spans="1:35" x14ac:dyDescent="0.55000000000000004">
      <c r="A192">
        <v>12876</v>
      </c>
      <c r="B192">
        <v>47.846899999999998</v>
      </c>
      <c r="C192">
        <v>-4.2443</v>
      </c>
      <c r="D192">
        <v>11</v>
      </c>
      <c r="E192" t="s">
        <v>72</v>
      </c>
      <c r="F192">
        <v>13.24</v>
      </c>
      <c r="G192">
        <v>10.75</v>
      </c>
      <c r="H192">
        <v>15.72</v>
      </c>
      <c r="I192">
        <v>0</v>
      </c>
      <c r="J192">
        <v>0</v>
      </c>
      <c r="K192">
        <v>8</v>
      </c>
      <c r="L192">
        <v>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</v>
      </c>
      <c r="S192">
        <v>4.97</v>
      </c>
      <c r="T192">
        <v>18.600000000000001</v>
      </c>
      <c r="U192">
        <v>12.31</v>
      </c>
      <c r="V192">
        <v>6.68</v>
      </c>
      <c r="W192">
        <v>14.4</v>
      </c>
      <c r="X192">
        <v>115.36</v>
      </c>
      <c r="Y192">
        <v>0.88</v>
      </c>
      <c r="Z192">
        <v>3.7</v>
      </c>
      <c r="AA192">
        <v>111.15</v>
      </c>
      <c r="AB192">
        <v>12.53</v>
      </c>
      <c r="AC192">
        <v>1</v>
      </c>
      <c r="AD192">
        <v>65.849999999999994</v>
      </c>
      <c r="AE192">
        <v>5</v>
      </c>
      <c r="AF192">
        <v>9</v>
      </c>
      <c r="AG192">
        <v>8.5500000000000007</v>
      </c>
      <c r="AH192">
        <v>8.5</v>
      </c>
      <c r="AI192">
        <v>21.37</v>
      </c>
    </row>
    <row r="193" spans="1:35" x14ac:dyDescent="0.55000000000000004">
      <c r="A193">
        <v>12876</v>
      </c>
      <c r="B193">
        <v>47.846899999999998</v>
      </c>
      <c r="C193">
        <v>-4.2443</v>
      </c>
      <c r="D193">
        <v>12</v>
      </c>
      <c r="E193" t="s">
        <v>72</v>
      </c>
      <c r="F193">
        <v>10.58</v>
      </c>
      <c r="G193">
        <v>8.7100000000000009</v>
      </c>
      <c r="H193">
        <v>12.46</v>
      </c>
      <c r="I193">
        <v>0</v>
      </c>
      <c r="J193">
        <v>0</v>
      </c>
      <c r="K193">
        <v>5</v>
      </c>
      <c r="L193">
        <v>10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3.75</v>
      </c>
      <c r="T193">
        <v>15.03</v>
      </c>
      <c r="U193">
        <v>8.64</v>
      </c>
      <c r="V193">
        <v>3.47</v>
      </c>
      <c r="W193">
        <v>12.44</v>
      </c>
      <c r="X193">
        <v>198.95</v>
      </c>
      <c r="Y193">
        <v>0</v>
      </c>
      <c r="Z193">
        <v>4.2300000000000004</v>
      </c>
      <c r="AA193">
        <v>131.01</v>
      </c>
      <c r="AB193">
        <v>14.67</v>
      </c>
      <c r="AC193">
        <v>1</v>
      </c>
      <c r="AD193">
        <v>63.22</v>
      </c>
      <c r="AE193">
        <v>5</v>
      </c>
      <c r="AF193">
        <v>7</v>
      </c>
      <c r="AG193">
        <v>8.59</v>
      </c>
      <c r="AH193">
        <v>7.22</v>
      </c>
      <c r="AI193">
        <v>16.47</v>
      </c>
    </row>
  </sheetData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zoomScaleNormal="100" workbookViewId="0">
      <selection activeCell="C2" sqref="C2:F49"/>
    </sheetView>
  </sheetViews>
  <sheetFormatPr baseColWidth="10" defaultRowHeight="14.4" x14ac:dyDescent="0.55000000000000004"/>
  <cols>
    <col min="1" max="1" width="9.26171875" style="1" bestFit="1" customWidth="1"/>
    <col min="2" max="2" width="5.20703125" style="1" bestFit="1" customWidth="1"/>
    <col min="3" max="3" width="7.68359375" style="1" bestFit="1" customWidth="1"/>
    <col min="4" max="4" width="9" style="1" bestFit="1" customWidth="1"/>
    <col min="5" max="5" width="8.734375" style="1" bestFit="1" customWidth="1"/>
    <col min="6" max="6" width="7.05078125" style="1" bestFit="1" customWidth="1"/>
    <col min="7" max="7" width="16.5234375" style="1" customWidth="1"/>
  </cols>
  <sheetData>
    <row r="1" spans="1:7" x14ac:dyDescent="0.55000000000000004">
      <c r="A1" s="2" t="s">
        <v>144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27</v>
      </c>
      <c r="G1" s="2" t="s">
        <v>1</v>
      </c>
    </row>
    <row r="2" spans="1:7" x14ac:dyDescent="0.55000000000000004">
      <c r="A2" s="1" t="s">
        <v>145</v>
      </c>
      <c r="B2" s="1">
        <v>1</v>
      </c>
      <c r="C2" s="6">
        <v>6.68</v>
      </c>
      <c r="D2" s="6">
        <v>4.58</v>
      </c>
      <c r="E2" s="6">
        <v>8.77</v>
      </c>
      <c r="F2" s="6">
        <v>112.02</v>
      </c>
      <c r="G2" s="1" t="str">
        <f>PROPER(TEXT(DATE(2000,B2,1),"mmm"))</f>
        <v>Janv</v>
      </c>
    </row>
    <row r="3" spans="1:7" x14ac:dyDescent="0.55000000000000004">
      <c r="A3" s="1" t="s">
        <v>145</v>
      </c>
      <c r="B3" s="1">
        <v>2</v>
      </c>
      <c r="C3" s="6">
        <v>6.67</v>
      </c>
      <c r="D3" s="6">
        <v>4.25</v>
      </c>
      <c r="E3" s="6">
        <v>9.09</v>
      </c>
      <c r="F3" s="6">
        <v>76.64</v>
      </c>
      <c r="G3" s="1" t="str">
        <f t="shared" ref="G3:G49" si="0">PROPER(TEXT(DATE(2000,B3,1),"mmm"))</f>
        <v>Févr</v>
      </c>
    </row>
    <row r="4" spans="1:7" x14ac:dyDescent="0.55000000000000004">
      <c r="A4" s="1" t="s">
        <v>145</v>
      </c>
      <c r="B4" s="1">
        <v>3</v>
      </c>
      <c r="C4" s="6">
        <v>8.74</v>
      </c>
      <c r="D4" s="6">
        <v>5.96</v>
      </c>
      <c r="E4" s="6">
        <v>11.51</v>
      </c>
      <c r="F4" s="6">
        <v>81.180000000000007</v>
      </c>
      <c r="G4" s="1" t="str">
        <f t="shared" si="0"/>
        <v>Mars</v>
      </c>
    </row>
    <row r="5" spans="1:7" x14ac:dyDescent="0.55000000000000004">
      <c r="A5" s="1" t="s">
        <v>145</v>
      </c>
      <c r="B5" s="1">
        <v>4</v>
      </c>
      <c r="C5" s="6">
        <v>10.32</v>
      </c>
      <c r="D5" s="6">
        <v>7.18</v>
      </c>
      <c r="E5" s="6">
        <v>13.46</v>
      </c>
      <c r="F5" s="6">
        <v>76.27</v>
      </c>
      <c r="G5" s="1" t="str">
        <f t="shared" si="0"/>
        <v>Avr</v>
      </c>
    </row>
    <row r="6" spans="1:7" x14ac:dyDescent="0.55000000000000004">
      <c r="A6" s="1" t="s">
        <v>145</v>
      </c>
      <c r="B6" s="1">
        <v>5</v>
      </c>
      <c r="C6" s="6">
        <v>13.31</v>
      </c>
      <c r="D6" s="6">
        <v>10.07</v>
      </c>
      <c r="E6" s="6">
        <v>16.55</v>
      </c>
      <c r="F6" s="6">
        <v>60.85</v>
      </c>
      <c r="G6" s="1" t="str">
        <f t="shared" si="0"/>
        <v>Mai</v>
      </c>
    </row>
    <row r="7" spans="1:7" x14ac:dyDescent="0.55000000000000004">
      <c r="A7" s="1" t="s">
        <v>145</v>
      </c>
      <c r="B7" s="1">
        <v>6</v>
      </c>
      <c r="C7" s="6">
        <v>15.46</v>
      </c>
      <c r="D7" s="6">
        <v>12.18</v>
      </c>
      <c r="E7" s="6">
        <v>18.73</v>
      </c>
      <c r="F7" s="6">
        <v>51.6</v>
      </c>
      <c r="G7" s="1" t="str">
        <f t="shared" si="0"/>
        <v>Juin</v>
      </c>
    </row>
    <row r="8" spans="1:7" x14ac:dyDescent="0.55000000000000004">
      <c r="A8" s="1" t="s">
        <v>145</v>
      </c>
      <c r="B8" s="1">
        <v>7</v>
      </c>
      <c r="C8" s="6">
        <v>18.170000000000002</v>
      </c>
      <c r="D8" s="6">
        <v>14.78</v>
      </c>
      <c r="E8" s="6">
        <v>21.55</v>
      </c>
      <c r="F8" s="6">
        <v>48.61</v>
      </c>
      <c r="G8" s="1" t="str">
        <f t="shared" si="0"/>
        <v>Juil</v>
      </c>
    </row>
    <row r="9" spans="1:7" x14ac:dyDescent="0.55000000000000004">
      <c r="A9" s="1" t="s">
        <v>145</v>
      </c>
      <c r="B9" s="1">
        <v>8</v>
      </c>
      <c r="C9" s="6">
        <v>18.3</v>
      </c>
      <c r="D9" s="6">
        <v>14.88</v>
      </c>
      <c r="E9" s="6">
        <v>21.72</v>
      </c>
      <c r="F9" s="6">
        <v>47.5</v>
      </c>
      <c r="G9" s="1" t="str">
        <f t="shared" si="0"/>
        <v>Août</v>
      </c>
    </row>
    <row r="10" spans="1:7" x14ac:dyDescent="0.55000000000000004">
      <c r="A10" s="1" t="s">
        <v>145</v>
      </c>
      <c r="B10" s="1">
        <v>9</v>
      </c>
      <c r="C10" s="6">
        <v>16.18</v>
      </c>
      <c r="D10" s="6">
        <v>12.77</v>
      </c>
      <c r="E10" s="6">
        <v>19.59</v>
      </c>
      <c r="F10" s="6">
        <v>73.52</v>
      </c>
      <c r="G10" s="1" t="str">
        <f t="shared" si="0"/>
        <v>Sept</v>
      </c>
    </row>
    <row r="11" spans="1:7" x14ac:dyDescent="0.55000000000000004">
      <c r="A11" s="1" t="s">
        <v>145</v>
      </c>
      <c r="B11" s="1">
        <v>10</v>
      </c>
      <c r="C11" s="6">
        <v>13</v>
      </c>
      <c r="D11" s="6">
        <v>10.14</v>
      </c>
      <c r="E11" s="6">
        <v>15.87</v>
      </c>
      <c r="F11" s="6">
        <v>96.45</v>
      </c>
      <c r="G11" s="1" t="str">
        <f t="shared" si="0"/>
        <v>Oct</v>
      </c>
    </row>
    <row r="12" spans="1:7" x14ac:dyDescent="0.55000000000000004">
      <c r="A12" s="1" t="s">
        <v>145</v>
      </c>
      <c r="B12" s="1">
        <v>11</v>
      </c>
      <c r="C12" s="6">
        <v>9.64</v>
      </c>
      <c r="D12" s="6">
        <v>7.13</v>
      </c>
      <c r="E12" s="6">
        <v>12.15</v>
      </c>
      <c r="F12" s="6">
        <v>105.5</v>
      </c>
      <c r="G12" s="1" t="str">
        <f t="shared" si="0"/>
        <v>Nov</v>
      </c>
    </row>
    <row r="13" spans="1:7" x14ac:dyDescent="0.55000000000000004">
      <c r="A13" s="1" t="s">
        <v>145</v>
      </c>
      <c r="B13" s="1">
        <v>12</v>
      </c>
      <c r="C13" s="6">
        <v>7.83</v>
      </c>
      <c r="D13" s="6">
        <v>5.87</v>
      </c>
      <c r="E13" s="6">
        <v>9.7899999999999991</v>
      </c>
      <c r="F13" s="6">
        <v>119.76</v>
      </c>
      <c r="G13" s="1" t="str">
        <f t="shared" si="0"/>
        <v>Déc</v>
      </c>
    </row>
    <row r="14" spans="1:7" x14ac:dyDescent="0.55000000000000004">
      <c r="A14" s="1" t="s">
        <v>73</v>
      </c>
      <c r="B14" s="1">
        <v>1</v>
      </c>
      <c r="C14" s="6">
        <v>7.56</v>
      </c>
      <c r="D14" s="6">
        <v>5.5</v>
      </c>
      <c r="E14" s="6">
        <v>9.6199999999999992</v>
      </c>
      <c r="F14" s="6">
        <v>124.02</v>
      </c>
      <c r="G14" s="1" t="str">
        <f t="shared" si="0"/>
        <v>Janv</v>
      </c>
    </row>
    <row r="15" spans="1:7" x14ac:dyDescent="0.55000000000000004">
      <c r="A15" s="1" t="s">
        <v>73</v>
      </c>
      <c r="B15" s="1">
        <v>2</v>
      </c>
      <c r="C15" s="6">
        <v>7.45</v>
      </c>
      <c r="D15" s="6">
        <v>5.0999999999999996</v>
      </c>
      <c r="E15" s="6">
        <v>9.7899999999999991</v>
      </c>
      <c r="F15" s="6">
        <v>100.52</v>
      </c>
      <c r="G15" s="1" t="str">
        <f t="shared" si="0"/>
        <v>Févr</v>
      </c>
    </row>
    <row r="16" spans="1:7" x14ac:dyDescent="0.55000000000000004">
      <c r="A16" s="1" t="s">
        <v>73</v>
      </c>
      <c r="B16" s="1">
        <v>3</v>
      </c>
      <c r="C16" s="6">
        <v>9.17</v>
      </c>
      <c r="D16" s="6">
        <v>6.29</v>
      </c>
      <c r="E16" s="6">
        <v>12.05</v>
      </c>
      <c r="F16" s="6">
        <v>99.07</v>
      </c>
      <c r="G16" s="1" t="str">
        <f t="shared" si="0"/>
        <v>Mars</v>
      </c>
    </row>
    <row r="17" spans="1:7" x14ac:dyDescent="0.55000000000000004">
      <c r="A17" s="1" t="s">
        <v>73</v>
      </c>
      <c r="B17" s="1">
        <v>4</v>
      </c>
      <c r="C17" s="6">
        <v>11.33</v>
      </c>
      <c r="D17" s="6">
        <v>8.24</v>
      </c>
      <c r="E17" s="6">
        <v>14.42</v>
      </c>
      <c r="F17" s="6">
        <v>73.83</v>
      </c>
      <c r="G17" s="1" t="str">
        <f t="shared" si="0"/>
        <v>Avr</v>
      </c>
    </row>
    <row r="18" spans="1:7" x14ac:dyDescent="0.55000000000000004">
      <c r="A18" s="1" t="s">
        <v>73</v>
      </c>
      <c r="B18" s="1">
        <v>5</v>
      </c>
      <c r="C18" s="6">
        <v>14.61</v>
      </c>
      <c r="D18" s="6">
        <v>11.33</v>
      </c>
      <c r="E18" s="6">
        <v>17.88</v>
      </c>
      <c r="F18" s="6">
        <v>68.02</v>
      </c>
      <c r="G18" s="1" t="str">
        <f t="shared" si="0"/>
        <v>Mai</v>
      </c>
    </row>
    <row r="19" spans="1:7" x14ac:dyDescent="0.55000000000000004">
      <c r="A19" s="1" t="s">
        <v>73</v>
      </c>
      <c r="B19" s="1">
        <v>6</v>
      </c>
      <c r="C19" s="6">
        <v>15.95</v>
      </c>
      <c r="D19" s="6">
        <v>12.75</v>
      </c>
      <c r="E19" s="6">
        <v>19.14</v>
      </c>
      <c r="F19" s="6">
        <v>58.35</v>
      </c>
      <c r="G19" s="1" t="str">
        <f t="shared" si="0"/>
        <v>Juin</v>
      </c>
    </row>
    <row r="20" spans="1:7" x14ac:dyDescent="0.55000000000000004">
      <c r="A20" s="1" t="s">
        <v>73</v>
      </c>
      <c r="B20" s="1">
        <v>7</v>
      </c>
      <c r="C20" s="6">
        <v>18.690000000000001</v>
      </c>
      <c r="D20" s="6">
        <v>15.4</v>
      </c>
      <c r="E20" s="6">
        <v>21.98</v>
      </c>
      <c r="F20" s="6">
        <v>67.34</v>
      </c>
      <c r="G20" s="1" t="str">
        <f t="shared" si="0"/>
        <v>Juil</v>
      </c>
    </row>
    <row r="21" spans="1:7" x14ac:dyDescent="0.55000000000000004">
      <c r="A21" s="1" t="s">
        <v>73</v>
      </c>
      <c r="B21" s="1">
        <v>8</v>
      </c>
      <c r="C21" s="6">
        <v>18.899999999999999</v>
      </c>
      <c r="D21" s="6">
        <v>15.65</v>
      </c>
      <c r="E21" s="6">
        <v>22.15</v>
      </c>
      <c r="F21" s="6">
        <v>45.13</v>
      </c>
      <c r="G21" s="1" t="str">
        <f t="shared" si="0"/>
        <v>Août</v>
      </c>
    </row>
    <row r="22" spans="1:7" x14ac:dyDescent="0.55000000000000004">
      <c r="A22" s="1" t="s">
        <v>73</v>
      </c>
      <c r="B22" s="1">
        <v>9</v>
      </c>
      <c r="C22" s="6">
        <v>17.100000000000001</v>
      </c>
      <c r="D22" s="6">
        <v>13.59</v>
      </c>
      <c r="E22" s="6">
        <v>20.62</v>
      </c>
      <c r="F22" s="6">
        <v>61.51</v>
      </c>
      <c r="G22" s="1" t="str">
        <f t="shared" si="0"/>
        <v>Sept</v>
      </c>
    </row>
    <row r="23" spans="1:7" x14ac:dyDescent="0.55000000000000004">
      <c r="A23" s="1" t="s">
        <v>73</v>
      </c>
      <c r="B23" s="1">
        <v>10</v>
      </c>
      <c r="C23" s="6">
        <v>13.87</v>
      </c>
      <c r="D23" s="6">
        <v>11.04</v>
      </c>
      <c r="E23" s="6">
        <v>16.71</v>
      </c>
      <c r="F23" s="6">
        <v>114.33</v>
      </c>
      <c r="G23" s="1" t="str">
        <f t="shared" si="0"/>
        <v>Oct</v>
      </c>
    </row>
    <row r="24" spans="1:7" x14ac:dyDescent="0.55000000000000004">
      <c r="A24" s="1" t="s">
        <v>73</v>
      </c>
      <c r="B24" s="1">
        <v>11</v>
      </c>
      <c r="C24" s="6">
        <v>10.53</v>
      </c>
      <c r="D24" s="6">
        <v>8.17</v>
      </c>
      <c r="E24" s="6">
        <v>12.89</v>
      </c>
      <c r="F24" s="6">
        <v>106.99</v>
      </c>
      <c r="G24" s="1" t="str">
        <f t="shared" si="0"/>
        <v>Nov</v>
      </c>
    </row>
    <row r="25" spans="1:7" x14ac:dyDescent="0.55000000000000004">
      <c r="A25" s="1" t="s">
        <v>73</v>
      </c>
      <c r="B25" s="1">
        <v>12</v>
      </c>
      <c r="C25" s="6">
        <v>8.08</v>
      </c>
      <c r="D25" s="6">
        <v>6.13</v>
      </c>
      <c r="E25" s="6">
        <v>10.02</v>
      </c>
      <c r="F25" s="6">
        <v>107.71</v>
      </c>
      <c r="G25" s="1" t="str">
        <f t="shared" si="0"/>
        <v>Déc</v>
      </c>
    </row>
    <row r="26" spans="1:7" x14ac:dyDescent="0.55000000000000004">
      <c r="A26" s="1" t="s">
        <v>74</v>
      </c>
      <c r="B26" s="1">
        <v>1</v>
      </c>
      <c r="C26" s="6">
        <v>8.01</v>
      </c>
      <c r="D26" s="6">
        <v>5.95</v>
      </c>
      <c r="E26" s="6">
        <v>10.07</v>
      </c>
      <c r="F26" s="6">
        <v>117.93</v>
      </c>
      <c r="G26" s="1" t="str">
        <f>PROPER(TEXT(DATE(2000,B26,1),"mmm"))</f>
        <v>Janv</v>
      </c>
    </row>
    <row r="27" spans="1:7" x14ac:dyDescent="0.55000000000000004">
      <c r="A27" s="1" t="s">
        <v>74</v>
      </c>
      <c r="B27" s="1">
        <v>2</v>
      </c>
      <c r="C27" s="6">
        <v>7.98</v>
      </c>
      <c r="D27" s="6">
        <v>5.62</v>
      </c>
      <c r="E27" s="6">
        <v>10.35</v>
      </c>
      <c r="F27" s="6">
        <v>102.45</v>
      </c>
      <c r="G27" s="1" t="str">
        <f t="shared" si="0"/>
        <v>Févr</v>
      </c>
    </row>
    <row r="28" spans="1:7" x14ac:dyDescent="0.55000000000000004">
      <c r="A28" s="1" t="s">
        <v>74</v>
      </c>
      <c r="B28" s="1">
        <v>3</v>
      </c>
      <c r="C28" s="6">
        <v>10.48</v>
      </c>
      <c r="D28" s="6">
        <v>7.67</v>
      </c>
      <c r="E28" s="6">
        <v>13.28</v>
      </c>
      <c r="F28" s="6">
        <v>93.34</v>
      </c>
      <c r="G28" s="1" t="str">
        <f t="shared" si="0"/>
        <v>Mars</v>
      </c>
    </row>
    <row r="29" spans="1:7" x14ac:dyDescent="0.55000000000000004">
      <c r="A29" s="1" t="s">
        <v>74</v>
      </c>
      <c r="B29" s="1">
        <v>4</v>
      </c>
      <c r="C29" s="6">
        <v>12.01</v>
      </c>
      <c r="D29" s="6">
        <v>9</v>
      </c>
      <c r="E29" s="6">
        <v>15.01</v>
      </c>
      <c r="F29" s="6">
        <v>72.03</v>
      </c>
      <c r="G29" s="1" t="str">
        <f t="shared" si="0"/>
        <v>Avr</v>
      </c>
    </row>
    <row r="30" spans="1:7" x14ac:dyDescent="0.55000000000000004">
      <c r="A30" s="1" t="s">
        <v>74</v>
      </c>
      <c r="B30" s="1">
        <v>5</v>
      </c>
      <c r="C30" s="6">
        <v>14.99</v>
      </c>
      <c r="D30" s="6">
        <v>11.8</v>
      </c>
      <c r="E30" s="6">
        <v>18.18</v>
      </c>
      <c r="F30" s="6">
        <v>66.180000000000007</v>
      </c>
      <c r="G30" s="1" t="str">
        <f t="shared" si="0"/>
        <v>Mai</v>
      </c>
    </row>
    <row r="31" spans="1:7" x14ac:dyDescent="0.55000000000000004">
      <c r="A31" s="1" t="s">
        <v>74</v>
      </c>
      <c r="B31" s="1">
        <v>6</v>
      </c>
      <c r="C31" s="6">
        <v>16.95</v>
      </c>
      <c r="D31" s="6">
        <v>13.61</v>
      </c>
      <c r="E31" s="6">
        <v>20.28</v>
      </c>
      <c r="F31" s="6">
        <v>43.25</v>
      </c>
      <c r="G31" s="1" t="str">
        <f t="shared" si="0"/>
        <v>Juin</v>
      </c>
    </row>
    <row r="32" spans="1:7" x14ac:dyDescent="0.55000000000000004">
      <c r="A32" s="1" t="s">
        <v>74</v>
      </c>
      <c r="B32" s="1">
        <v>7</v>
      </c>
      <c r="C32" s="6">
        <v>19.71</v>
      </c>
      <c r="D32" s="6">
        <v>16.41</v>
      </c>
      <c r="E32" s="6">
        <v>23.01</v>
      </c>
      <c r="F32" s="6">
        <v>54.15</v>
      </c>
      <c r="G32" s="1" t="str">
        <f t="shared" si="0"/>
        <v>Juil</v>
      </c>
    </row>
    <row r="33" spans="1:7" x14ac:dyDescent="0.55000000000000004">
      <c r="A33" s="1" t="s">
        <v>74</v>
      </c>
      <c r="B33" s="1">
        <v>8</v>
      </c>
      <c r="C33" s="6">
        <v>20.11</v>
      </c>
      <c r="D33" s="6">
        <v>16.899999999999999</v>
      </c>
      <c r="E33" s="6">
        <v>23.32</v>
      </c>
      <c r="F33" s="6">
        <v>47.2</v>
      </c>
      <c r="G33" s="1" t="str">
        <f t="shared" si="0"/>
        <v>Août</v>
      </c>
    </row>
    <row r="34" spans="1:7" x14ac:dyDescent="0.55000000000000004">
      <c r="A34" s="1" t="s">
        <v>74</v>
      </c>
      <c r="B34" s="1">
        <v>9</v>
      </c>
      <c r="C34" s="6">
        <v>18.260000000000002</v>
      </c>
      <c r="D34" s="6">
        <v>14.7</v>
      </c>
      <c r="E34" s="6">
        <v>21.81</v>
      </c>
      <c r="F34" s="6">
        <v>57.4</v>
      </c>
      <c r="G34" s="1" t="str">
        <f t="shared" si="0"/>
        <v>Sept</v>
      </c>
    </row>
    <row r="35" spans="1:7" x14ac:dyDescent="0.55000000000000004">
      <c r="A35" s="1" t="s">
        <v>74</v>
      </c>
      <c r="B35" s="1">
        <v>10</v>
      </c>
      <c r="C35" s="6">
        <v>14.77</v>
      </c>
      <c r="D35" s="6">
        <v>11.94</v>
      </c>
      <c r="E35" s="6">
        <v>17.61</v>
      </c>
      <c r="F35" s="6">
        <v>110.24</v>
      </c>
      <c r="G35" s="1" t="str">
        <f t="shared" si="0"/>
        <v>Oct</v>
      </c>
    </row>
    <row r="36" spans="1:7" x14ac:dyDescent="0.55000000000000004">
      <c r="A36" s="1" t="s">
        <v>74</v>
      </c>
      <c r="B36" s="1">
        <v>11</v>
      </c>
      <c r="C36" s="6">
        <v>11.67</v>
      </c>
      <c r="D36" s="6">
        <v>9.27</v>
      </c>
      <c r="E36" s="6">
        <v>14.07</v>
      </c>
      <c r="F36" s="6">
        <v>109.43</v>
      </c>
      <c r="G36" s="1" t="str">
        <f t="shared" si="0"/>
        <v>Nov</v>
      </c>
    </row>
    <row r="37" spans="1:7" x14ac:dyDescent="0.55000000000000004">
      <c r="A37" s="1" t="s">
        <v>74</v>
      </c>
      <c r="B37" s="1">
        <v>12</v>
      </c>
      <c r="C37" s="6">
        <v>9.32</v>
      </c>
      <c r="D37" s="6">
        <v>7.45</v>
      </c>
      <c r="E37" s="6">
        <v>11.19</v>
      </c>
      <c r="F37" s="6">
        <v>124.86</v>
      </c>
      <c r="G37" s="1" t="str">
        <f t="shared" si="0"/>
        <v>Déc</v>
      </c>
    </row>
    <row r="38" spans="1:7" x14ac:dyDescent="0.55000000000000004">
      <c r="A38" s="1" t="s">
        <v>75</v>
      </c>
      <c r="B38" s="1">
        <v>1</v>
      </c>
      <c r="C38" s="6">
        <v>9.86</v>
      </c>
      <c r="D38" s="6">
        <v>7.93</v>
      </c>
      <c r="E38" s="6">
        <v>11.79</v>
      </c>
      <c r="F38" s="6">
        <v>117.11</v>
      </c>
      <c r="G38" s="1" t="str">
        <f t="shared" si="0"/>
        <v>Janv</v>
      </c>
    </row>
    <row r="39" spans="1:7" x14ac:dyDescent="0.55000000000000004">
      <c r="A39" s="1" t="s">
        <v>75</v>
      </c>
      <c r="B39" s="1">
        <v>2</v>
      </c>
      <c r="C39" s="6">
        <v>9.7899999999999991</v>
      </c>
      <c r="D39" s="6">
        <v>7.71</v>
      </c>
      <c r="E39" s="6">
        <v>11.87</v>
      </c>
      <c r="F39" s="6">
        <v>100.85</v>
      </c>
      <c r="G39" s="1" t="str">
        <f t="shared" si="0"/>
        <v>Févr</v>
      </c>
    </row>
    <row r="40" spans="1:7" x14ac:dyDescent="0.55000000000000004">
      <c r="A40" s="1" t="s">
        <v>75</v>
      </c>
      <c r="B40" s="1">
        <v>3</v>
      </c>
      <c r="C40" s="6">
        <v>10.96</v>
      </c>
      <c r="D40" s="6">
        <v>8.14</v>
      </c>
      <c r="E40" s="6">
        <v>13.79</v>
      </c>
      <c r="F40" s="6">
        <v>98.01</v>
      </c>
      <c r="G40" s="1" t="str">
        <f t="shared" si="0"/>
        <v>Mars</v>
      </c>
    </row>
    <row r="41" spans="1:7" x14ac:dyDescent="0.55000000000000004">
      <c r="A41" s="1" t="s">
        <v>75</v>
      </c>
      <c r="B41" s="1">
        <v>4</v>
      </c>
      <c r="C41" s="6">
        <v>13.44</v>
      </c>
      <c r="D41" s="6">
        <v>10.38</v>
      </c>
      <c r="E41" s="6">
        <v>16.510000000000002</v>
      </c>
      <c r="F41" s="6">
        <v>71.84</v>
      </c>
      <c r="G41" s="1" t="str">
        <f t="shared" si="0"/>
        <v>Avr</v>
      </c>
    </row>
    <row r="42" spans="1:7" x14ac:dyDescent="0.55000000000000004">
      <c r="A42" s="1" t="s">
        <v>75</v>
      </c>
      <c r="B42" s="1">
        <v>5</v>
      </c>
      <c r="C42" s="6">
        <v>16.93</v>
      </c>
      <c r="D42" s="6">
        <v>13.7</v>
      </c>
      <c r="E42" s="6">
        <v>20.149999999999999</v>
      </c>
      <c r="F42" s="6">
        <v>59.86</v>
      </c>
      <c r="G42" s="1" t="str">
        <f t="shared" si="0"/>
        <v>Mai</v>
      </c>
    </row>
    <row r="43" spans="1:7" x14ac:dyDescent="0.55000000000000004">
      <c r="A43" s="1" t="s">
        <v>75</v>
      </c>
      <c r="B43" s="1">
        <v>6</v>
      </c>
      <c r="C43" s="6">
        <v>18.18</v>
      </c>
      <c r="D43" s="6">
        <v>14.87</v>
      </c>
      <c r="E43" s="6">
        <v>21.49</v>
      </c>
      <c r="F43" s="6">
        <v>48.85</v>
      </c>
      <c r="G43" s="1" t="str">
        <f t="shared" si="0"/>
        <v>Juin</v>
      </c>
    </row>
    <row r="44" spans="1:7" x14ac:dyDescent="0.55000000000000004">
      <c r="A44" s="1" t="s">
        <v>75</v>
      </c>
      <c r="B44" s="1">
        <v>7</v>
      </c>
      <c r="C44" s="6">
        <v>20.8</v>
      </c>
      <c r="D44" s="6">
        <v>17.559999999999999</v>
      </c>
      <c r="E44" s="6">
        <v>24.04</v>
      </c>
      <c r="F44" s="6">
        <v>42.58</v>
      </c>
      <c r="G44" s="1" t="str">
        <f t="shared" si="0"/>
        <v>Juil</v>
      </c>
    </row>
    <row r="45" spans="1:7" x14ac:dyDescent="0.55000000000000004">
      <c r="A45" s="1" t="s">
        <v>75</v>
      </c>
      <c r="B45" s="1">
        <v>8</v>
      </c>
      <c r="C45" s="6">
        <v>21.61</v>
      </c>
      <c r="D45" s="6">
        <v>18.57</v>
      </c>
      <c r="E45" s="6">
        <v>24.65</v>
      </c>
      <c r="F45" s="6">
        <v>45.93</v>
      </c>
      <c r="G45" s="1" t="str">
        <f t="shared" si="0"/>
        <v>Août</v>
      </c>
    </row>
    <row r="46" spans="1:7" x14ac:dyDescent="0.55000000000000004">
      <c r="A46" s="1" t="s">
        <v>75</v>
      </c>
      <c r="B46" s="1">
        <v>9</v>
      </c>
      <c r="C46" s="6">
        <v>20</v>
      </c>
      <c r="D46" s="6">
        <v>16.559999999999999</v>
      </c>
      <c r="E46" s="6">
        <v>23.44</v>
      </c>
      <c r="F46" s="6">
        <v>70.7</v>
      </c>
      <c r="G46" s="1" t="str">
        <f t="shared" si="0"/>
        <v>Sept</v>
      </c>
    </row>
    <row r="47" spans="1:7" x14ac:dyDescent="0.55000000000000004">
      <c r="A47" s="1" t="s">
        <v>75</v>
      </c>
      <c r="B47" s="1">
        <v>10</v>
      </c>
      <c r="C47" s="6">
        <v>16.37</v>
      </c>
      <c r="D47" s="6">
        <v>13.34</v>
      </c>
      <c r="E47" s="6">
        <v>19.399999999999999</v>
      </c>
      <c r="F47" s="6">
        <v>91.35</v>
      </c>
      <c r="G47" s="1" t="str">
        <f t="shared" si="0"/>
        <v>Oct</v>
      </c>
    </row>
    <row r="48" spans="1:7" x14ac:dyDescent="0.55000000000000004">
      <c r="A48" s="1" t="s">
        <v>75</v>
      </c>
      <c r="B48" s="1">
        <v>11</v>
      </c>
      <c r="C48" s="6">
        <v>13.24</v>
      </c>
      <c r="D48" s="6">
        <v>10.75</v>
      </c>
      <c r="E48" s="6">
        <v>15.72</v>
      </c>
      <c r="F48" s="6">
        <v>111.15</v>
      </c>
      <c r="G48" s="1" t="str">
        <f t="shared" si="0"/>
        <v>Nov</v>
      </c>
    </row>
    <row r="49" spans="1:7" x14ac:dyDescent="0.55000000000000004">
      <c r="A49" s="1" t="s">
        <v>75</v>
      </c>
      <c r="B49" s="1">
        <v>12</v>
      </c>
      <c r="C49" s="6">
        <v>10.58</v>
      </c>
      <c r="D49" s="6">
        <v>8.7100000000000009</v>
      </c>
      <c r="E49" s="6">
        <v>12.46</v>
      </c>
      <c r="F49" s="6">
        <v>131.01</v>
      </c>
      <c r="G49" s="1" t="str">
        <f t="shared" si="0"/>
        <v>Déc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tabSelected="1" workbookViewId="0">
      <selection activeCell="T14" sqref="T14"/>
    </sheetView>
  </sheetViews>
  <sheetFormatPr baseColWidth="10" defaultRowHeight="14.4" x14ac:dyDescent="0.55000000000000004"/>
  <cols>
    <col min="1" max="1" width="9.26171875" style="1" bestFit="1" customWidth="1"/>
    <col min="2" max="2" width="5.20703125" style="1" bestFit="1" customWidth="1"/>
    <col min="3" max="3" width="9.41796875" style="1" customWidth="1"/>
    <col min="4" max="4" width="10.3125" style="1" customWidth="1"/>
    <col min="5" max="5" width="9.05078125" style="1" customWidth="1"/>
    <col min="6" max="6" width="12.9453125" style="1" bestFit="1" customWidth="1"/>
  </cols>
  <sheetData>
    <row r="1" spans="1:6" x14ac:dyDescent="0.55000000000000004">
      <c r="A1" s="2" t="s">
        <v>144</v>
      </c>
      <c r="B1" s="2" t="s">
        <v>5</v>
      </c>
      <c r="C1" s="2" t="s">
        <v>27</v>
      </c>
      <c r="D1" s="2" t="s">
        <v>36</v>
      </c>
      <c r="E1" s="2" t="s">
        <v>76</v>
      </c>
      <c r="F1" s="2" t="s">
        <v>1</v>
      </c>
    </row>
    <row r="2" spans="1:6" x14ac:dyDescent="0.55000000000000004">
      <c r="A2" s="1" t="s">
        <v>145</v>
      </c>
      <c r="B2" s="1">
        <v>1</v>
      </c>
      <c r="C2" s="6">
        <v>112.02</v>
      </c>
      <c r="D2" s="6">
        <v>16.86</v>
      </c>
      <c r="E2" s="6">
        <v>95.16</v>
      </c>
      <c r="F2" s="1" t="str">
        <f>PROPER(TEXT(DATE(2000,B2,1),"mmm"))</f>
        <v>Janv</v>
      </c>
    </row>
    <row r="3" spans="1:6" x14ac:dyDescent="0.55000000000000004">
      <c r="A3" s="1" t="s">
        <v>145</v>
      </c>
      <c r="B3" s="1">
        <v>2</v>
      </c>
      <c r="C3" s="6">
        <v>76.64</v>
      </c>
      <c r="D3" s="6">
        <v>21.64</v>
      </c>
      <c r="E3" s="6">
        <v>55</v>
      </c>
      <c r="F3" s="1" t="str">
        <f t="shared" ref="F3:F49" si="0">PROPER(TEXT(DATE(2000,B3,1),"mmm"))</f>
        <v>Févr</v>
      </c>
    </row>
    <row r="4" spans="1:6" x14ac:dyDescent="0.55000000000000004">
      <c r="A4" s="1" t="s">
        <v>145</v>
      </c>
      <c r="B4" s="1">
        <v>3</v>
      </c>
      <c r="C4" s="6">
        <v>81.180000000000007</v>
      </c>
      <c r="D4" s="6">
        <v>39.97</v>
      </c>
      <c r="E4" s="6">
        <v>41.21</v>
      </c>
      <c r="F4" s="1" t="str">
        <f t="shared" si="0"/>
        <v>Mars</v>
      </c>
    </row>
    <row r="5" spans="1:6" x14ac:dyDescent="0.55000000000000004">
      <c r="A5" s="1" t="s">
        <v>145</v>
      </c>
      <c r="B5" s="1">
        <v>4</v>
      </c>
      <c r="C5" s="6">
        <v>76.27</v>
      </c>
      <c r="D5" s="6">
        <v>58.58</v>
      </c>
      <c r="E5" s="6">
        <v>17.690000000000001</v>
      </c>
      <c r="F5" s="1" t="str">
        <f t="shared" si="0"/>
        <v>Avr</v>
      </c>
    </row>
    <row r="6" spans="1:6" x14ac:dyDescent="0.55000000000000004">
      <c r="A6" s="1" t="s">
        <v>145</v>
      </c>
      <c r="B6" s="1">
        <v>5</v>
      </c>
      <c r="C6" s="6">
        <v>60.85</v>
      </c>
      <c r="D6" s="6">
        <v>83.4</v>
      </c>
      <c r="E6" s="6">
        <v>-22.55</v>
      </c>
      <c r="F6" s="1" t="str">
        <f t="shared" si="0"/>
        <v>Mai</v>
      </c>
    </row>
    <row r="7" spans="1:6" x14ac:dyDescent="0.55000000000000004">
      <c r="A7" s="1" t="s">
        <v>145</v>
      </c>
      <c r="B7" s="1">
        <v>6</v>
      </c>
      <c r="C7" s="6">
        <v>51.6</v>
      </c>
      <c r="D7" s="6">
        <v>88.14</v>
      </c>
      <c r="E7" s="6">
        <v>-36.54</v>
      </c>
      <c r="F7" s="1" t="str">
        <f t="shared" si="0"/>
        <v>Juin</v>
      </c>
    </row>
    <row r="8" spans="1:6" x14ac:dyDescent="0.55000000000000004">
      <c r="A8" s="1" t="s">
        <v>145</v>
      </c>
      <c r="B8" s="1">
        <v>7</v>
      </c>
      <c r="C8" s="6">
        <v>48.61</v>
      </c>
      <c r="D8" s="6">
        <v>99.5</v>
      </c>
      <c r="E8" s="6">
        <v>-50.89</v>
      </c>
      <c r="F8" s="1" t="str">
        <f t="shared" si="0"/>
        <v>Juil</v>
      </c>
    </row>
    <row r="9" spans="1:6" x14ac:dyDescent="0.55000000000000004">
      <c r="A9" s="1" t="s">
        <v>145</v>
      </c>
      <c r="B9" s="1">
        <v>8</v>
      </c>
      <c r="C9" s="6">
        <v>47.5</v>
      </c>
      <c r="D9" s="6">
        <v>85.94</v>
      </c>
      <c r="E9" s="6">
        <v>-38.44</v>
      </c>
      <c r="F9" s="1" t="str">
        <f t="shared" si="0"/>
        <v>Août</v>
      </c>
    </row>
    <row r="10" spans="1:6" x14ac:dyDescent="0.55000000000000004">
      <c r="A10" s="1" t="s">
        <v>145</v>
      </c>
      <c r="B10" s="1">
        <v>9</v>
      </c>
      <c r="C10" s="6">
        <v>73.52</v>
      </c>
      <c r="D10" s="6">
        <v>60.61</v>
      </c>
      <c r="E10" s="6">
        <v>12.91</v>
      </c>
      <c r="F10" s="1" t="str">
        <f t="shared" si="0"/>
        <v>Sept</v>
      </c>
    </row>
    <row r="11" spans="1:6" x14ac:dyDescent="0.55000000000000004">
      <c r="A11" s="1" t="s">
        <v>145</v>
      </c>
      <c r="B11" s="1">
        <v>10</v>
      </c>
      <c r="C11" s="6">
        <v>96.45</v>
      </c>
      <c r="D11" s="6">
        <v>35.1</v>
      </c>
      <c r="E11" s="6">
        <v>61.35</v>
      </c>
      <c r="F11" s="1" t="str">
        <f t="shared" si="0"/>
        <v>Oct</v>
      </c>
    </row>
    <row r="12" spans="1:6" x14ac:dyDescent="0.55000000000000004">
      <c r="A12" s="1" t="s">
        <v>145</v>
      </c>
      <c r="B12" s="1">
        <v>11</v>
      </c>
      <c r="C12" s="6">
        <v>105.5</v>
      </c>
      <c r="D12" s="6">
        <v>18.579999999999998</v>
      </c>
      <c r="E12" s="6">
        <v>86.92</v>
      </c>
      <c r="F12" s="1" t="str">
        <f t="shared" si="0"/>
        <v>Nov</v>
      </c>
    </row>
    <row r="13" spans="1:6" x14ac:dyDescent="0.55000000000000004">
      <c r="A13" s="1" t="s">
        <v>145</v>
      </c>
      <c r="B13" s="1">
        <v>12</v>
      </c>
      <c r="C13" s="6">
        <v>119.76</v>
      </c>
      <c r="D13" s="6">
        <v>15.27</v>
      </c>
      <c r="E13" s="6">
        <v>104.49</v>
      </c>
      <c r="F13" s="1" t="str">
        <f t="shared" si="0"/>
        <v>Déc</v>
      </c>
    </row>
    <row r="14" spans="1:6" x14ac:dyDescent="0.55000000000000004">
      <c r="A14" s="1" t="s">
        <v>73</v>
      </c>
      <c r="B14" s="1">
        <v>1</v>
      </c>
      <c r="C14" s="6">
        <v>124.02</v>
      </c>
      <c r="D14" s="6">
        <v>17.18</v>
      </c>
      <c r="E14" s="6">
        <v>106.84</v>
      </c>
      <c r="F14" s="1" t="str">
        <f t="shared" si="0"/>
        <v>Janv</v>
      </c>
    </row>
    <row r="15" spans="1:6" x14ac:dyDescent="0.55000000000000004">
      <c r="A15" s="1" t="s">
        <v>73</v>
      </c>
      <c r="B15" s="1">
        <v>2</v>
      </c>
      <c r="C15" s="6">
        <v>100.52</v>
      </c>
      <c r="D15" s="6">
        <v>22.38</v>
      </c>
      <c r="E15" s="6">
        <v>78.14</v>
      </c>
      <c r="F15" s="1" t="str">
        <f t="shared" si="0"/>
        <v>Févr</v>
      </c>
    </row>
    <row r="16" spans="1:6" x14ac:dyDescent="0.55000000000000004">
      <c r="A16" s="1" t="s">
        <v>73</v>
      </c>
      <c r="B16" s="1">
        <v>3</v>
      </c>
      <c r="C16" s="6">
        <v>99.07</v>
      </c>
      <c r="D16" s="6">
        <v>40.28</v>
      </c>
      <c r="E16" s="6">
        <v>58.79</v>
      </c>
      <c r="F16" s="1" t="str">
        <f t="shared" si="0"/>
        <v>Mars</v>
      </c>
    </row>
    <row r="17" spans="1:6" x14ac:dyDescent="0.55000000000000004">
      <c r="A17" s="1" t="s">
        <v>73</v>
      </c>
      <c r="B17" s="1">
        <v>4</v>
      </c>
      <c r="C17" s="6">
        <v>73.83</v>
      </c>
      <c r="D17" s="6">
        <v>61.36</v>
      </c>
      <c r="E17" s="6">
        <v>12.47</v>
      </c>
      <c r="F17" s="1" t="str">
        <f t="shared" si="0"/>
        <v>Avr</v>
      </c>
    </row>
    <row r="18" spans="1:6" x14ac:dyDescent="0.55000000000000004">
      <c r="A18" s="1" t="s">
        <v>73</v>
      </c>
      <c r="B18" s="1">
        <v>5</v>
      </c>
      <c r="C18" s="6">
        <v>68.02</v>
      </c>
      <c r="D18" s="6">
        <v>89.5</v>
      </c>
      <c r="E18" s="6">
        <v>-21.48</v>
      </c>
      <c r="F18" s="1" t="str">
        <f t="shared" si="0"/>
        <v>Mai</v>
      </c>
    </row>
    <row r="19" spans="1:6" x14ac:dyDescent="0.55000000000000004">
      <c r="A19" s="1" t="s">
        <v>73</v>
      </c>
      <c r="B19" s="1">
        <v>6</v>
      </c>
      <c r="C19" s="6">
        <v>58.35</v>
      </c>
      <c r="D19" s="6">
        <v>88.56</v>
      </c>
      <c r="E19" s="6">
        <v>-30.21</v>
      </c>
      <c r="F19" s="1" t="str">
        <f t="shared" si="0"/>
        <v>Juin</v>
      </c>
    </row>
    <row r="20" spans="1:6" x14ac:dyDescent="0.55000000000000004">
      <c r="A20" s="1" t="s">
        <v>73</v>
      </c>
      <c r="B20" s="1">
        <v>7</v>
      </c>
      <c r="C20" s="6">
        <v>67.34</v>
      </c>
      <c r="D20" s="6">
        <v>99.79</v>
      </c>
      <c r="E20" s="6">
        <v>-32.450000000000003</v>
      </c>
      <c r="F20" s="1" t="str">
        <f t="shared" si="0"/>
        <v>Juil</v>
      </c>
    </row>
    <row r="21" spans="1:6" x14ac:dyDescent="0.55000000000000004">
      <c r="A21" s="1" t="s">
        <v>73</v>
      </c>
      <c r="B21" s="1">
        <v>8</v>
      </c>
      <c r="C21" s="6">
        <v>45.13</v>
      </c>
      <c r="D21" s="6">
        <v>86.13</v>
      </c>
      <c r="E21" s="6">
        <v>-41</v>
      </c>
      <c r="F21" s="1" t="str">
        <f t="shared" si="0"/>
        <v>Août</v>
      </c>
    </row>
    <row r="22" spans="1:6" x14ac:dyDescent="0.55000000000000004">
      <c r="A22" s="1" t="s">
        <v>73</v>
      </c>
      <c r="B22" s="1">
        <v>9</v>
      </c>
      <c r="C22" s="6">
        <v>61.51</v>
      </c>
      <c r="D22" s="6">
        <v>64.84</v>
      </c>
      <c r="E22" s="6">
        <v>-3.3300000000000098</v>
      </c>
      <c r="F22" s="1" t="str">
        <f t="shared" si="0"/>
        <v>Sept</v>
      </c>
    </row>
    <row r="23" spans="1:6" x14ac:dyDescent="0.55000000000000004">
      <c r="A23" s="1" t="s">
        <v>73</v>
      </c>
      <c r="B23" s="1">
        <v>10</v>
      </c>
      <c r="C23" s="6">
        <v>114.33</v>
      </c>
      <c r="D23" s="6">
        <v>37.04</v>
      </c>
      <c r="E23" s="6">
        <v>77.290000000000006</v>
      </c>
      <c r="F23" s="1" t="str">
        <f t="shared" si="0"/>
        <v>Oct</v>
      </c>
    </row>
    <row r="24" spans="1:6" x14ac:dyDescent="0.55000000000000004">
      <c r="A24" s="1" t="s">
        <v>73</v>
      </c>
      <c r="B24" s="1">
        <v>11</v>
      </c>
      <c r="C24" s="6">
        <v>106.99</v>
      </c>
      <c r="D24" s="6">
        <v>19.43</v>
      </c>
      <c r="E24" s="6">
        <v>87.56</v>
      </c>
      <c r="F24" s="1" t="str">
        <f t="shared" si="0"/>
        <v>Nov</v>
      </c>
    </row>
    <row r="25" spans="1:6" x14ac:dyDescent="0.55000000000000004">
      <c r="A25" s="1" t="s">
        <v>73</v>
      </c>
      <c r="B25" s="1">
        <v>12</v>
      </c>
      <c r="C25" s="6">
        <v>107.71</v>
      </c>
      <c r="D25" s="6">
        <v>15.44</v>
      </c>
      <c r="E25" s="6">
        <v>92.27</v>
      </c>
      <c r="F25" s="1" t="str">
        <f t="shared" si="0"/>
        <v>Déc</v>
      </c>
    </row>
    <row r="26" spans="1:6" x14ac:dyDescent="0.55000000000000004">
      <c r="A26" s="1" t="s">
        <v>74</v>
      </c>
      <c r="B26" s="1">
        <v>1</v>
      </c>
      <c r="C26" s="6">
        <v>117.93</v>
      </c>
      <c r="D26" s="6">
        <v>17.48</v>
      </c>
      <c r="E26" s="6">
        <v>100.45</v>
      </c>
      <c r="F26" s="1" t="str">
        <f t="shared" si="0"/>
        <v>Janv</v>
      </c>
    </row>
    <row r="27" spans="1:6" x14ac:dyDescent="0.55000000000000004">
      <c r="A27" s="1" t="s">
        <v>74</v>
      </c>
      <c r="B27" s="1">
        <v>2</v>
      </c>
      <c r="C27" s="6">
        <v>102.45</v>
      </c>
      <c r="D27" s="6">
        <v>21.99</v>
      </c>
      <c r="E27" s="6">
        <v>80.459999999999994</v>
      </c>
      <c r="F27" s="1" t="str">
        <f t="shared" si="0"/>
        <v>Févr</v>
      </c>
    </row>
    <row r="28" spans="1:6" x14ac:dyDescent="0.55000000000000004">
      <c r="A28" s="1" t="s">
        <v>74</v>
      </c>
      <c r="B28" s="1">
        <v>3</v>
      </c>
      <c r="C28" s="6">
        <v>93.34</v>
      </c>
      <c r="D28" s="6">
        <v>43</v>
      </c>
      <c r="E28" s="6">
        <v>50.34</v>
      </c>
      <c r="F28" s="1" t="str">
        <f t="shared" si="0"/>
        <v>Mars</v>
      </c>
    </row>
    <row r="29" spans="1:6" x14ac:dyDescent="0.55000000000000004">
      <c r="A29" s="1" t="s">
        <v>74</v>
      </c>
      <c r="B29" s="1">
        <v>4</v>
      </c>
      <c r="C29" s="6">
        <v>72.03</v>
      </c>
      <c r="D29" s="6">
        <v>63.39</v>
      </c>
      <c r="E29" s="6">
        <v>8.64</v>
      </c>
      <c r="F29" s="1" t="str">
        <f t="shared" si="0"/>
        <v>Avr</v>
      </c>
    </row>
    <row r="30" spans="1:6" x14ac:dyDescent="0.55000000000000004">
      <c r="A30" s="1" t="s">
        <v>74</v>
      </c>
      <c r="B30" s="1">
        <v>5</v>
      </c>
      <c r="C30" s="6">
        <v>66.180000000000007</v>
      </c>
      <c r="D30" s="6">
        <v>90.54</v>
      </c>
      <c r="E30" s="6">
        <v>-24.36</v>
      </c>
      <c r="F30" s="1" t="str">
        <f t="shared" si="0"/>
        <v>Mai</v>
      </c>
    </row>
    <row r="31" spans="1:6" x14ac:dyDescent="0.55000000000000004">
      <c r="A31" s="1" t="s">
        <v>74</v>
      </c>
      <c r="B31" s="1">
        <v>6</v>
      </c>
      <c r="C31" s="6">
        <v>43.25</v>
      </c>
      <c r="D31" s="6">
        <v>94.89</v>
      </c>
      <c r="E31" s="6">
        <v>-51.64</v>
      </c>
      <c r="F31" s="1" t="str">
        <f t="shared" si="0"/>
        <v>Juin</v>
      </c>
    </row>
    <row r="32" spans="1:6" x14ac:dyDescent="0.55000000000000004">
      <c r="A32" s="1" t="s">
        <v>74</v>
      </c>
      <c r="B32" s="1">
        <v>7</v>
      </c>
      <c r="C32" s="6">
        <v>54.15</v>
      </c>
      <c r="D32" s="6">
        <v>104.54</v>
      </c>
      <c r="E32" s="6">
        <v>-50.39</v>
      </c>
      <c r="F32" s="1" t="str">
        <f t="shared" si="0"/>
        <v>Juil</v>
      </c>
    </row>
    <row r="33" spans="1:6" x14ac:dyDescent="0.55000000000000004">
      <c r="A33" s="1" t="s">
        <v>74</v>
      </c>
      <c r="B33" s="1">
        <v>8</v>
      </c>
      <c r="C33" s="6">
        <v>47.2</v>
      </c>
      <c r="D33" s="6">
        <v>90.12</v>
      </c>
      <c r="E33" s="6">
        <v>-42.92</v>
      </c>
      <c r="F33" s="1" t="str">
        <f t="shared" si="0"/>
        <v>Août</v>
      </c>
    </row>
    <row r="34" spans="1:6" x14ac:dyDescent="0.55000000000000004">
      <c r="A34" s="1" t="s">
        <v>74</v>
      </c>
      <c r="B34" s="1">
        <v>9</v>
      </c>
      <c r="C34" s="6">
        <v>57.4</v>
      </c>
      <c r="D34" s="6">
        <v>69.58</v>
      </c>
      <c r="E34" s="6">
        <v>-12.18</v>
      </c>
      <c r="F34" s="1" t="str">
        <f t="shared" si="0"/>
        <v>Sept</v>
      </c>
    </row>
    <row r="35" spans="1:6" x14ac:dyDescent="0.55000000000000004">
      <c r="A35" s="1" t="s">
        <v>74</v>
      </c>
      <c r="B35" s="1">
        <v>10</v>
      </c>
      <c r="C35" s="6">
        <v>110.24</v>
      </c>
      <c r="D35" s="6">
        <v>37.299999999999997</v>
      </c>
      <c r="E35" s="6">
        <v>72.94</v>
      </c>
      <c r="F35" s="1" t="str">
        <f t="shared" si="0"/>
        <v>Oct</v>
      </c>
    </row>
    <row r="36" spans="1:6" x14ac:dyDescent="0.55000000000000004">
      <c r="A36" s="1" t="s">
        <v>74</v>
      </c>
      <c r="B36" s="1">
        <v>11</v>
      </c>
      <c r="C36" s="6">
        <v>109.43</v>
      </c>
      <c r="D36" s="6">
        <v>20.079999999999998</v>
      </c>
      <c r="E36" s="6">
        <v>89.35</v>
      </c>
      <c r="F36" s="1" t="str">
        <f t="shared" si="0"/>
        <v>Nov</v>
      </c>
    </row>
    <row r="37" spans="1:6" x14ac:dyDescent="0.55000000000000004">
      <c r="A37" s="1" t="s">
        <v>74</v>
      </c>
      <c r="B37" s="1">
        <v>12</v>
      </c>
      <c r="C37" s="6">
        <v>124.86</v>
      </c>
      <c r="D37" s="6">
        <v>15.7</v>
      </c>
      <c r="E37" s="6">
        <v>109.16</v>
      </c>
      <c r="F37" s="1" t="str">
        <f t="shared" si="0"/>
        <v>Déc</v>
      </c>
    </row>
    <row r="38" spans="1:6" x14ac:dyDescent="0.55000000000000004">
      <c r="A38" s="1" t="s">
        <v>75</v>
      </c>
      <c r="B38" s="1">
        <v>1</v>
      </c>
      <c r="C38" s="6">
        <v>117.11</v>
      </c>
      <c r="D38" s="6">
        <v>19.14</v>
      </c>
      <c r="E38" s="6">
        <v>97.97</v>
      </c>
      <c r="F38" s="1" t="str">
        <f t="shared" si="0"/>
        <v>Janv</v>
      </c>
    </row>
    <row r="39" spans="1:6" x14ac:dyDescent="0.55000000000000004">
      <c r="A39" s="1" t="s">
        <v>75</v>
      </c>
      <c r="B39" s="1">
        <v>2</v>
      </c>
      <c r="C39" s="6">
        <v>100.85</v>
      </c>
      <c r="D39" s="6">
        <v>24.52</v>
      </c>
      <c r="E39" s="6">
        <v>76.33</v>
      </c>
      <c r="F39" s="1" t="str">
        <f t="shared" si="0"/>
        <v>Févr</v>
      </c>
    </row>
    <row r="40" spans="1:6" x14ac:dyDescent="0.55000000000000004">
      <c r="A40" s="1" t="s">
        <v>75</v>
      </c>
      <c r="B40" s="1">
        <v>3</v>
      </c>
      <c r="C40" s="6">
        <v>98.01</v>
      </c>
      <c r="D40" s="6">
        <v>45.92</v>
      </c>
      <c r="E40" s="6">
        <v>52.09</v>
      </c>
      <c r="F40" s="1" t="str">
        <f t="shared" si="0"/>
        <v>Mars</v>
      </c>
    </row>
    <row r="41" spans="1:6" x14ac:dyDescent="0.55000000000000004">
      <c r="A41" s="1" t="s">
        <v>75</v>
      </c>
      <c r="B41" s="1">
        <v>4</v>
      </c>
      <c r="C41" s="6">
        <v>71.84</v>
      </c>
      <c r="D41" s="6">
        <v>68.239999999999995</v>
      </c>
      <c r="E41" s="6">
        <v>3.6000000000000099</v>
      </c>
      <c r="F41" s="1" t="str">
        <f t="shared" si="0"/>
        <v>Avr</v>
      </c>
    </row>
    <row r="42" spans="1:6" x14ac:dyDescent="0.55000000000000004">
      <c r="A42" s="1" t="s">
        <v>75</v>
      </c>
      <c r="B42" s="1">
        <v>5</v>
      </c>
      <c r="C42" s="6">
        <v>59.86</v>
      </c>
      <c r="D42" s="6">
        <v>98.97</v>
      </c>
      <c r="E42" s="6">
        <v>-39.11</v>
      </c>
      <c r="F42" s="1" t="str">
        <f t="shared" si="0"/>
        <v>Mai</v>
      </c>
    </row>
    <row r="43" spans="1:6" x14ac:dyDescent="0.55000000000000004">
      <c r="A43" s="1" t="s">
        <v>75</v>
      </c>
      <c r="B43" s="1">
        <v>6</v>
      </c>
      <c r="C43" s="6">
        <v>48.85</v>
      </c>
      <c r="D43" s="6">
        <v>99.39</v>
      </c>
      <c r="E43" s="6">
        <v>-50.54</v>
      </c>
      <c r="F43" s="1" t="str">
        <f t="shared" si="0"/>
        <v>Juin</v>
      </c>
    </row>
    <row r="44" spans="1:6" x14ac:dyDescent="0.55000000000000004">
      <c r="A44" s="1" t="s">
        <v>75</v>
      </c>
      <c r="B44" s="1">
        <v>7</v>
      </c>
      <c r="C44" s="6">
        <v>42.58</v>
      </c>
      <c r="D44" s="6">
        <v>106.68</v>
      </c>
      <c r="E44" s="6">
        <v>-64.099999999999994</v>
      </c>
      <c r="F44" s="1" t="str">
        <f t="shared" si="0"/>
        <v>Juil</v>
      </c>
    </row>
    <row r="45" spans="1:6" x14ac:dyDescent="0.55000000000000004">
      <c r="A45" s="1" t="s">
        <v>75</v>
      </c>
      <c r="B45" s="1">
        <v>8</v>
      </c>
      <c r="C45" s="6">
        <v>45.93</v>
      </c>
      <c r="D45" s="6">
        <v>92.83</v>
      </c>
      <c r="E45" s="6">
        <v>-46.9</v>
      </c>
      <c r="F45" s="1" t="str">
        <f t="shared" si="0"/>
        <v>Août</v>
      </c>
    </row>
    <row r="46" spans="1:6" x14ac:dyDescent="0.55000000000000004">
      <c r="A46" s="1" t="s">
        <v>75</v>
      </c>
      <c r="B46" s="1">
        <v>9</v>
      </c>
      <c r="C46" s="6">
        <v>70.7</v>
      </c>
      <c r="D46" s="6">
        <v>71.760000000000005</v>
      </c>
      <c r="E46" s="6">
        <v>-1.06</v>
      </c>
      <c r="F46" s="1" t="str">
        <f t="shared" si="0"/>
        <v>Sept</v>
      </c>
    </row>
    <row r="47" spans="1:6" x14ac:dyDescent="0.55000000000000004">
      <c r="A47" s="1" t="s">
        <v>75</v>
      </c>
      <c r="B47" s="1">
        <v>10</v>
      </c>
      <c r="C47" s="6">
        <v>91.35</v>
      </c>
      <c r="D47" s="6">
        <v>41.52</v>
      </c>
      <c r="E47" s="6">
        <v>49.83</v>
      </c>
      <c r="F47" s="1" t="str">
        <f t="shared" si="0"/>
        <v>Oct</v>
      </c>
    </row>
    <row r="48" spans="1:6" x14ac:dyDescent="0.55000000000000004">
      <c r="A48" s="1" t="s">
        <v>75</v>
      </c>
      <c r="B48" s="1">
        <v>11</v>
      </c>
      <c r="C48" s="6">
        <v>111.15</v>
      </c>
      <c r="D48" s="6">
        <v>21.37</v>
      </c>
      <c r="E48" s="6">
        <v>89.78</v>
      </c>
      <c r="F48" s="1" t="str">
        <f t="shared" si="0"/>
        <v>Nov</v>
      </c>
    </row>
    <row r="49" spans="1:6" x14ac:dyDescent="0.55000000000000004">
      <c r="A49" s="1" t="s">
        <v>75</v>
      </c>
      <c r="B49" s="1">
        <v>12</v>
      </c>
      <c r="C49" s="6">
        <v>131.01</v>
      </c>
      <c r="D49" s="6">
        <v>16.47</v>
      </c>
      <c r="E49" s="6">
        <v>114.54</v>
      </c>
      <c r="F49" s="1" t="str">
        <f t="shared" si="0"/>
        <v>Déc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DRIAS_METADATA</vt:lpstr>
      <vt:lpstr>DRIAS_RAW</vt:lpstr>
      <vt:lpstr>DRIAS_OMBRO</vt:lpstr>
      <vt:lpstr>DRIAS_ETP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PaulCarteron</dc:creator>
  <cp:lastModifiedBy>Paul Carteron</cp:lastModifiedBy>
  <dcterms:created xsi:type="dcterms:W3CDTF">2026-02-10T14:51:35Z</dcterms:created>
  <dcterms:modified xsi:type="dcterms:W3CDTF">2026-02-17T09:36:40Z</dcterms:modified>
</cp:coreProperties>
</file>