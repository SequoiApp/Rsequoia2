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hgourmain-my.sharepoint.com/personal/p_carteron_racines_com/Documents/personnel/Rsequoia2/inst/xlsx/"/>
    </mc:Choice>
  </mc:AlternateContent>
  <xr:revisionPtr revIDLastSave="70" documentId="13_ncr:1_{BC07E6FF-CBD4-4DC0-959F-BBDCB101E7FC}" xr6:coauthVersionLast="47" xr6:coauthVersionMax="47" xr10:uidLastSave="{2DED6095-E543-4E99-B524-C6BB56574C24}"/>
  <bookViews>
    <workbookView xWindow="-96" yWindow="-96" windowWidth="20928" windowHeight="12432" xr2:uid="{00000000-000D-0000-FFFF-FFFF00000000}"/>
  </bookViews>
  <sheets>
    <sheet name="DRIAS_METADATA" sheetId="7" r:id="rId1"/>
    <sheet name="DRIAS_RAW" sheetId="4" r:id="rId2"/>
    <sheet name="DRIAS_OMBRO" sheetId="5" r:id="rId3"/>
    <sheet name="DRIAS_ETP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" i="6"/>
  <c r="G26" i="5"/>
  <c r="G27" i="5"/>
  <c r="G28" i="5"/>
  <c r="G29" i="5"/>
  <c r="G30" i="5"/>
  <c r="G31" i="5"/>
  <c r="G32" i="5"/>
  <c r="G33" i="5"/>
  <c r="G34" i="5"/>
  <c r="G35" i="5"/>
  <c r="G36" i="5"/>
  <c r="G37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</calcChain>
</file>

<file path=xl/sharedStrings.xml><?xml version="1.0" encoding="utf-8"?>
<sst xmlns="http://schemas.openxmlformats.org/spreadsheetml/2006/main" count="443" uniqueCount="79">
  <si>
    <t>PERIODE</t>
  </si>
  <si>
    <t>MONTH_LABEL</t>
  </si>
  <si>
    <t>POINT</t>
  </si>
  <si>
    <t>LATITUDE</t>
  </si>
  <si>
    <t>LONGITUDE</t>
  </si>
  <si>
    <t>CONTEXTE</t>
  </si>
  <si>
    <t>MOIS</t>
  </si>
  <si>
    <t>NORTAV</t>
  </si>
  <si>
    <t>NORTNAV</t>
  </si>
  <si>
    <t>NORTXAV</t>
  </si>
  <si>
    <t>NORSD</t>
  </si>
  <si>
    <t>NORTX35</t>
  </si>
  <si>
    <t>NORTXND</t>
  </si>
  <si>
    <t>NORTNHT</t>
  </si>
  <si>
    <t>NORTR</t>
  </si>
  <si>
    <t>NORTNFD</t>
  </si>
  <si>
    <t>NORTNND</t>
  </si>
  <si>
    <t>NORTXFD</t>
  </si>
  <si>
    <t>NORTNCWD</t>
  </si>
  <si>
    <t>NORTXHWD</t>
  </si>
  <si>
    <t>NORTRAV</t>
  </si>
  <si>
    <t>NORTXQ90</t>
  </si>
  <si>
    <t>NORTXQ10</t>
  </si>
  <si>
    <t>NORTNQ10</t>
  </si>
  <si>
    <t>NORTNQ90</t>
  </si>
  <si>
    <t>NORHDD</t>
  </si>
  <si>
    <t>NORCDD</t>
  </si>
  <si>
    <t>NORPAV</t>
  </si>
  <si>
    <t>NORRR</t>
  </si>
  <si>
    <t>NORRR1MM</t>
  </si>
  <si>
    <t>NORPN20MM</t>
  </si>
  <si>
    <t>NORPFL90</t>
  </si>
  <si>
    <t>NORPXCWD</t>
  </si>
  <si>
    <t>NORPXCDD</t>
  </si>
  <si>
    <t>NORTPSPI</t>
  </si>
  <si>
    <t>NORPINT</t>
  </si>
  <si>
    <t>NORHUSAV</t>
  </si>
  <si>
    <t>NORETPC</t>
  </si>
  <si>
    <t>ATAV</t>
  </si>
  <si>
    <t>ATNAV</t>
  </si>
  <si>
    <t>ATXAV</t>
  </si>
  <si>
    <t>ASD</t>
  </si>
  <si>
    <t>ATX35</t>
  </si>
  <si>
    <t>ATXND</t>
  </si>
  <si>
    <t>ATNHT</t>
  </si>
  <si>
    <t>ATR</t>
  </si>
  <si>
    <t>ATNFD</t>
  </si>
  <si>
    <t>ATNND</t>
  </si>
  <si>
    <t>ATXFD</t>
  </si>
  <si>
    <t>ATNCWD</t>
  </si>
  <si>
    <t>ATXHWD</t>
  </si>
  <si>
    <t>ATRAV</t>
  </si>
  <si>
    <t>ATXQ90</t>
  </si>
  <si>
    <t>ATXQ10</t>
  </si>
  <si>
    <t>ATNQ10</t>
  </si>
  <si>
    <t>ATNQ90</t>
  </si>
  <si>
    <t>AHDD</t>
  </si>
  <si>
    <t>ACDD</t>
  </si>
  <si>
    <t>APAV</t>
  </si>
  <si>
    <t>ARR</t>
  </si>
  <si>
    <t>ARR1MM</t>
  </si>
  <si>
    <t>APN20MM</t>
  </si>
  <si>
    <t>APFL90</t>
  </si>
  <si>
    <t>APXCWD</t>
  </si>
  <si>
    <t>APXCDD</t>
  </si>
  <si>
    <t>APINT</t>
  </si>
  <si>
    <t>AFFAV</t>
  </si>
  <si>
    <t>AFF3</t>
  </si>
  <si>
    <t>AHUSAV</t>
  </si>
  <si>
    <t>AETPC</t>
  </si>
  <si>
    <t>ARETPC</t>
  </si>
  <si>
    <t>RCP8.5</t>
  </si>
  <si>
    <t>H1</t>
  </si>
  <si>
    <t>H2</t>
  </si>
  <si>
    <t>H3</t>
  </si>
  <si>
    <t>2021-2050</t>
  </si>
  <si>
    <t>2041-2070</t>
  </si>
  <si>
    <t>2071-2100</t>
  </si>
  <si>
    <t>P-ETP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</si>
</sst>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DRIAS_OMBRO!$A$2</c:f>
              <c:strCache>
                <c:ptCount val="1"/>
                <c:pt idx="0">
                  <c:v>2021-2050</c:v>
                </c:pt>
              </c:strCache>
            </c:strRef>
          </c:tx>
          <c:spPr>
            <a:solidFill>
              <a:srgbClr val="CCECFF"/>
            </a:solidFill>
            <a:ln>
              <a:noFill/>
            </a:ln>
            <a:effectLst/>
          </c:spPr>
          <c:invertIfNegative val="0"/>
          <c:cat>
            <c:strRef>
              <c:f>DRIAS_OMBRO!$G$2:$G$13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DRIAS_OMBRO!$F$2:$F$13</c:f>
              <c:numCache>
                <c:formatCode>General</c:formatCode>
                <c:ptCount val="12"/>
                <c:pt idx="0">
                  <c:v>124.02</c:v>
                </c:pt>
                <c:pt idx="1">
                  <c:v>100.52</c:v>
                </c:pt>
                <c:pt idx="2">
                  <c:v>99.07</c:v>
                </c:pt>
                <c:pt idx="3">
                  <c:v>73.83</c:v>
                </c:pt>
                <c:pt idx="4">
                  <c:v>68.02</c:v>
                </c:pt>
                <c:pt idx="5">
                  <c:v>58.35</c:v>
                </c:pt>
                <c:pt idx="6">
                  <c:v>67.34</c:v>
                </c:pt>
                <c:pt idx="7">
                  <c:v>45.13</c:v>
                </c:pt>
                <c:pt idx="8">
                  <c:v>61.51</c:v>
                </c:pt>
                <c:pt idx="9">
                  <c:v>114.33</c:v>
                </c:pt>
                <c:pt idx="10">
                  <c:v>106.99</c:v>
                </c:pt>
                <c:pt idx="11">
                  <c:v>107.71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F-473A-A922-5CD4493D4DC2}"/>
            </c:ext>
          </c:extLst>
        </c:ser>
        <c:ser>
          <c:idx val="1"/>
          <c:order val="1"/>
          <c:tx>
            <c:strRef>
              <c:f>DRIAS_OMBRO!$A$14</c:f>
              <c:strCache>
                <c:ptCount val="1"/>
                <c:pt idx="0">
                  <c:v>2041-2070</c:v>
                </c:pt>
              </c:strCache>
            </c:strRef>
          </c:tx>
          <c:spPr>
            <a:solidFill>
              <a:srgbClr val="3C7DFF"/>
            </a:solidFill>
            <a:ln>
              <a:noFill/>
            </a:ln>
            <a:effectLst/>
          </c:spPr>
          <c:invertIfNegative val="0"/>
          <c:cat>
            <c:strRef>
              <c:f>DRIAS_OMBRO!$G$2:$G$13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DRIAS_OMBRO!$F$14:$F$25</c:f>
              <c:numCache>
                <c:formatCode>General</c:formatCode>
                <c:ptCount val="12"/>
                <c:pt idx="0">
                  <c:v>117.93</c:v>
                </c:pt>
                <c:pt idx="1">
                  <c:v>102.45</c:v>
                </c:pt>
                <c:pt idx="2">
                  <c:v>93.34</c:v>
                </c:pt>
                <c:pt idx="3">
                  <c:v>72.03</c:v>
                </c:pt>
                <c:pt idx="4">
                  <c:v>66.180000000000007</c:v>
                </c:pt>
                <c:pt idx="5">
                  <c:v>43.25</c:v>
                </c:pt>
                <c:pt idx="6">
                  <c:v>54.15</c:v>
                </c:pt>
                <c:pt idx="7">
                  <c:v>47.2</c:v>
                </c:pt>
                <c:pt idx="8">
                  <c:v>57.4</c:v>
                </c:pt>
                <c:pt idx="9">
                  <c:v>110.24</c:v>
                </c:pt>
                <c:pt idx="10">
                  <c:v>109.43</c:v>
                </c:pt>
                <c:pt idx="11">
                  <c:v>124.86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F-473A-A922-5CD4493D4DC2}"/>
            </c:ext>
          </c:extLst>
        </c:ser>
        <c:ser>
          <c:idx val="4"/>
          <c:order val="2"/>
          <c:tx>
            <c:strRef>
              <c:f>DRIAS_OMBRO!$A$26</c:f>
              <c:strCache>
                <c:ptCount val="1"/>
                <c:pt idx="0">
                  <c:v>2071-2100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val>
            <c:numRef>
              <c:f>DRIAS_OMBRO!$F$26:$F$37</c:f>
              <c:numCache>
                <c:formatCode>General</c:formatCode>
                <c:ptCount val="12"/>
                <c:pt idx="0">
                  <c:v>117.11</c:v>
                </c:pt>
                <c:pt idx="1">
                  <c:v>100.85</c:v>
                </c:pt>
                <c:pt idx="2">
                  <c:v>98.01</c:v>
                </c:pt>
                <c:pt idx="3">
                  <c:v>71.84</c:v>
                </c:pt>
                <c:pt idx="4">
                  <c:v>59.86</c:v>
                </c:pt>
                <c:pt idx="5">
                  <c:v>48.85</c:v>
                </c:pt>
                <c:pt idx="6">
                  <c:v>42.58</c:v>
                </c:pt>
                <c:pt idx="7">
                  <c:v>45.93</c:v>
                </c:pt>
                <c:pt idx="8">
                  <c:v>70.7</c:v>
                </c:pt>
                <c:pt idx="9">
                  <c:v>91.35</c:v>
                </c:pt>
                <c:pt idx="10">
                  <c:v>111.15</c:v>
                </c:pt>
                <c:pt idx="11">
                  <c:v>131.01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49F-473A-A922-5CD4493D4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546335"/>
        <c:axId val="899549695"/>
      </c:barChart>
      <c:lineChart>
        <c:grouping val="standard"/>
        <c:varyColors val="0"/>
        <c:ser>
          <c:idx val="2"/>
          <c:order val="3"/>
          <c:tx>
            <c:strRef>
              <c:f>DRIAS_OMBRO!$A$2</c:f>
              <c:strCache>
                <c:ptCount val="1"/>
                <c:pt idx="0">
                  <c:v>2021-2050</c:v>
                </c:pt>
              </c:strCache>
            </c:strRef>
          </c:tx>
          <c:spPr>
            <a:ln w="28575" cap="rnd">
              <a:solidFill>
                <a:srgbClr val="FFA3A3"/>
              </a:solidFill>
              <a:round/>
            </a:ln>
            <a:effectLst/>
          </c:spPr>
          <c:marker>
            <c:symbol val="none"/>
          </c:marker>
          <c:val>
            <c:numRef>
              <c:f>DRIAS_OMBRO!$C$2:$C$13</c:f>
              <c:numCache>
                <c:formatCode>General</c:formatCode>
                <c:ptCount val="12"/>
                <c:pt idx="0">
                  <c:v>7.56</c:v>
                </c:pt>
                <c:pt idx="1">
                  <c:v>7.45</c:v>
                </c:pt>
                <c:pt idx="2">
                  <c:v>9.17</c:v>
                </c:pt>
                <c:pt idx="3">
                  <c:v>11.33</c:v>
                </c:pt>
                <c:pt idx="4">
                  <c:v>14.61</c:v>
                </c:pt>
                <c:pt idx="5">
                  <c:v>15.95</c:v>
                </c:pt>
                <c:pt idx="6">
                  <c:v>18.690000000000001</c:v>
                </c:pt>
                <c:pt idx="7">
                  <c:v>18.899999999999999</c:v>
                </c:pt>
                <c:pt idx="8">
                  <c:v>17.100000000000001</c:v>
                </c:pt>
                <c:pt idx="9">
                  <c:v>13.87</c:v>
                </c:pt>
                <c:pt idx="10">
                  <c:v>10.53</c:v>
                </c:pt>
                <c:pt idx="11">
                  <c:v>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9F-473A-A922-5CD4493D4DC2}"/>
            </c:ext>
          </c:extLst>
        </c:ser>
        <c:ser>
          <c:idx val="3"/>
          <c:order val="4"/>
          <c:tx>
            <c:strRef>
              <c:f>DRIAS_OMBRO!$A$14</c:f>
              <c:strCache>
                <c:ptCount val="1"/>
                <c:pt idx="0">
                  <c:v>2041-2070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DRIAS_OMBRO!$C$14:$C$25</c:f>
              <c:numCache>
                <c:formatCode>General</c:formatCode>
                <c:ptCount val="12"/>
                <c:pt idx="0">
                  <c:v>8.01</c:v>
                </c:pt>
                <c:pt idx="1">
                  <c:v>7.98</c:v>
                </c:pt>
                <c:pt idx="2">
                  <c:v>10.48</c:v>
                </c:pt>
                <c:pt idx="3">
                  <c:v>12.01</c:v>
                </c:pt>
                <c:pt idx="4">
                  <c:v>14.99</c:v>
                </c:pt>
                <c:pt idx="5">
                  <c:v>16.95</c:v>
                </c:pt>
                <c:pt idx="6">
                  <c:v>19.71</c:v>
                </c:pt>
                <c:pt idx="7">
                  <c:v>20.11</c:v>
                </c:pt>
                <c:pt idx="8">
                  <c:v>18.260000000000002</c:v>
                </c:pt>
                <c:pt idx="9">
                  <c:v>14.77</c:v>
                </c:pt>
                <c:pt idx="10">
                  <c:v>11.67</c:v>
                </c:pt>
                <c:pt idx="11">
                  <c:v>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9F-473A-A922-5CD4493D4DC2}"/>
            </c:ext>
          </c:extLst>
        </c:ser>
        <c:ser>
          <c:idx val="5"/>
          <c:order val="5"/>
          <c:tx>
            <c:strRef>
              <c:f>DRIAS_OMBRO!$A$26</c:f>
              <c:strCache>
                <c:ptCount val="1"/>
                <c:pt idx="0">
                  <c:v>2071-2100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DRIAS_OMBRO!$C$26:$C$37</c:f>
              <c:numCache>
                <c:formatCode>General</c:formatCode>
                <c:ptCount val="12"/>
                <c:pt idx="0">
                  <c:v>9.86</c:v>
                </c:pt>
                <c:pt idx="1">
                  <c:v>9.7899999999999991</c:v>
                </c:pt>
                <c:pt idx="2">
                  <c:v>10.96</c:v>
                </c:pt>
                <c:pt idx="3">
                  <c:v>13.44</c:v>
                </c:pt>
                <c:pt idx="4">
                  <c:v>16.93</c:v>
                </c:pt>
                <c:pt idx="5">
                  <c:v>18.18</c:v>
                </c:pt>
                <c:pt idx="6">
                  <c:v>20.8</c:v>
                </c:pt>
                <c:pt idx="7">
                  <c:v>21.61</c:v>
                </c:pt>
                <c:pt idx="8">
                  <c:v>20</c:v>
                </c:pt>
                <c:pt idx="9">
                  <c:v>16.37</c:v>
                </c:pt>
                <c:pt idx="10">
                  <c:v>13.24</c:v>
                </c:pt>
                <c:pt idx="11">
                  <c:v>10.58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49F-473A-A922-5CD4493D4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543087"/>
        <c:axId val="899548255"/>
      </c:lineChart>
      <c:catAx>
        <c:axId val="8995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9695"/>
        <c:crosses val="autoZero"/>
        <c:auto val="1"/>
        <c:lblAlgn val="ctr"/>
        <c:lblOffset val="100"/>
        <c:noMultiLvlLbl val="0"/>
      </c:catAx>
      <c:valAx>
        <c:axId val="8995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Précipitation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6335"/>
        <c:crosses val="autoZero"/>
        <c:crossBetween val="between"/>
      </c:valAx>
      <c:valAx>
        <c:axId val="899548255"/>
        <c:scaling>
          <c:orientation val="minMax"/>
          <c:max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Température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3543087"/>
        <c:crosses val="max"/>
        <c:crossBetween val="between"/>
      </c:valAx>
      <c:catAx>
        <c:axId val="903543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954825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Diagramme de l'évolution</a:t>
            </a:r>
            <a:r>
              <a:rPr lang="fr-FR" baseline="0"/>
              <a:t> du bilan hydrique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DRIAS_ETP!$A$2</c:f>
              <c:strCache>
                <c:ptCount val="1"/>
                <c:pt idx="0">
                  <c:v>2021-2050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BDE-4E67-B9F5-F9CD0BAA0C53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DE-4E67-B9F5-F9CD0BAA0C53}"/>
              </c:ext>
            </c:extLst>
          </c:dPt>
          <c:dPt>
            <c:idx val="2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BDE-4E67-B9F5-F9CD0BAA0C5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BDE-4E67-B9F5-F9CD0BAA0C53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BDE-4E67-B9F5-F9CD0BAA0C53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BDE-4E67-B9F5-F9CD0BAA0C53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BDE-4E67-B9F5-F9CD0BAA0C53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BDE-4E67-B9F5-F9CD0BAA0C53}"/>
              </c:ext>
            </c:extLst>
          </c:dPt>
          <c:dPt>
            <c:idx val="8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BDE-4E67-B9F5-F9CD0BAA0C53}"/>
              </c:ext>
            </c:extLst>
          </c:dPt>
          <c:dPt>
            <c:idx val="9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BDE-4E67-B9F5-F9CD0BAA0C53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BDE-4E67-B9F5-F9CD0BAA0C53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BDE-4E67-B9F5-F9CD0BAA0C53}"/>
              </c:ext>
            </c:extLst>
          </c:dPt>
          <c:cat>
            <c:strRef>
              <c:f>DRIAS_ETP!$F$2:$F$13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DRIAS_ETP!$E$2:$E$13</c:f>
              <c:numCache>
                <c:formatCode>General</c:formatCode>
                <c:ptCount val="12"/>
                <c:pt idx="0">
                  <c:v>106.84</c:v>
                </c:pt>
                <c:pt idx="1">
                  <c:v>78.14</c:v>
                </c:pt>
                <c:pt idx="2">
                  <c:v>58.79</c:v>
                </c:pt>
                <c:pt idx="3">
                  <c:v>12.47</c:v>
                </c:pt>
                <c:pt idx="4">
                  <c:v>-21.48</c:v>
                </c:pt>
                <c:pt idx="5">
                  <c:v>-30.21</c:v>
                </c:pt>
                <c:pt idx="6">
                  <c:v>-32.450000000000003</c:v>
                </c:pt>
                <c:pt idx="7">
                  <c:v>-41</c:v>
                </c:pt>
                <c:pt idx="8">
                  <c:v>-3.3300000000000098</c:v>
                </c:pt>
                <c:pt idx="9">
                  <c:v>77.290000000000006</c:v>
                </c:pt>
                <c:pt idx="10">
                  <c:v>87.56</c:v>
                </c:pt>
                <c:pt idx="11">
                  <c:v>92.27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BDE-4E67-B9F5-F9CD0BAA0C53}"/>
            </c:ext>
          </c:extLst>
        </c:ser>
        <c:ser>
          <c:idx val="1"/>
          <c:order val="1"/>
          <c:tx>
            <c:strRef>
              <c:f>DRIAS_ETP!$A$14</c:f>
              <c:strCache>
                <c:ptCount val="1"/>
                <c:pt idx="0">
                  <c:v>2041-2070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1BDE-4E67-B9F5-F9CD0BAA0C53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1BDE-4E67-B9F5-F9CD0BAA0C53}"/>
              </c:ext>
            </c:extLst>
          </c:dPt>
          <c:dPt>
            <c:idx val="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1BDE-4E67-B9F5-F9CD0BAA0C53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1BDE-4E67-B9F5-F9CD0BAA0C53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1BDE-4E67-B9F5-F9CD0BAA0C53}"/>
              </c:ext>
            </c:extLst>
          </c:dPt>
          <c:dPt>
            <c:idx val="5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1BDE-4E67-B9F5-F9CD0BAA0C53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1BDE-4E67-B9F5-F9CD0BAA0C53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1BDE-4E67-B9F5-F9CD0BAA0C53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1BDE-4E67-B9F5-F9CD0BAA0C53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1BDE-4E67-B9F5-F9CD0BAA0C53}"/>
              </c:ext>
            </c:extLst>
          </c:dPt>
          <c:dPt>
            <c:idx val="1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1BDE-4E67-B9F5-F9CD0BAA0C53}"/>
              </c:ext>
            </c:extLst>
          </c:dPt>
          <c:dPt>
            <c:idx val="1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1BDE-4E67-B9F5-F9CD0BAA0C53}"/>
              </c:ext>
            </c:extLst>
          </c:dPt>
          <c:cat>
            <c:strRef>
              <c:f>DRIAS_ETP!$F$2:$F$13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DRIAS_ETP!$E$14:$E$25</c:f>
              <c:numCache>
                <c:formatCode>General</c:formatCode>
                <c:ptCount val="12"/>
                <c:pt idx="0">
                  <c:v>100.45</c:v>
                </c:pt>
                <c:pt idx="1">
                  <c:v>80.459999999999994</c:v>
                </c:pt>
                <c:pt idx="2">
                  <c:v>50.34</c:v>
                </c:pt>
                <c:pt idx="3">
                  <c:v>8.64</c:v>
                </c:pt>
                <c:pt idx="4">
                  <c:v>-24.36</c:v>
                </c:pt>
                <c:pt idx="5">
                  <c:v>-51.64</c:v>
                </c:pt>
                <c:pt idx="6">
                  <c:v>-50.39</c:v>
                </c:pt>
                <c:pt idx="7">
                  <c:v>-42.92</c:v>
                </c:pt>
                <c:pt idx="8">
                  <c:v>-12.18</c:v>
                </c:pt>
                <c:pt idx="9">
                  <c:v>72.94</c:v>
                </c:pt>
                <c:pt idx="10">
                  <c:v>89.35</c:v>
                </c:pt>
                <c:pt idx="11">
                  <c:v>109.16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1BDE-4E67-B9F5-F9CD0BAA0C53}"/>
            </c:ext>
          </c:extLst>
        </c:ser>
        <c:ser>
          <c:idx val="2"/>
          <c:order val="2"/>
          <c:tx>
            <c:strRef>
              <c:f>DRIAS_ETP!$A$26</c:f>
              <c:strCache>
                <c:ptCount val="1"/>
                <c:pt idx="0">
                  <c:v>2071-2100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val>
            <c:numRef>
              <c:f>DRIAS_ETP!$E$26:$E$37</c:f>
              <c:numCache>
                <c:formatCode>General</c:formatCode>
                <c:ptCount val="12"/>
                <c:pt idx="0">
                  <c:v>97.97</c:v>
                </c:pt>
                <c:pt idx="1">
                  <c:v>76.33</c:v>
                </c:pt>
                <c:pt idx="2">
                  <c:v>52.09</c:v>
                </c:pt>
                <c:pt idx="3">
                  <c:v>3.6000000000000099</c:v>
                </c:pt>
                <c:pt idx="4">
                  <c:v>-39.11</c:v>
                </c:pt>
                <c:pt idx="5">
                  <c:v>-50.54</c:v>
                </c:pt>
                <c:pt idx="6">
                  <c:v>-64.099999999999994</c:v>
                </c:pt>
                <c:pt idx="7">
                  <c:v>-46.9</c:v>
                </c:pt>
                <c:pt idx="8">
                  <c:v>-1.06</c:v>
                </c:pt>
                <c:pt idx="9">
                  <c:v>49.83</c:v>
                </c:pt>
                <c:pt idx="10">
                  <c:v>89.78</c:v>
                </c:pt>
                <c:pt idx="11">
                  <c:v>114.54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1BDE-4E67-B9F5-F9CD0BAA0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8610335"/>
        <c:axId val="908611295"/>
        <c:extLst/>
      </c:barChart>
      <c:catAx>
        <c:axId val="908610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8611295"/>
        <c:crosses val="autoZero"/>
        <c:auto val="1"/>
        <c:lblAlgn val="ctr"/>
        <c:lblOffset val="100"/>
        <c:noMultiLvlLbl val="0"/>
      </c:catAx>
      <c:valAx>
        <c:axId val="90861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Bilan</a:t>
                </a:r>
                <a:r>
                  <a:rPr lang="fr-FR" baseline="0"/>
                  <a:t> hydrique (mm)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86103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779145</xdr:colOff>
      <xdr:row>0</xdr:row>
      <xdr:rowOff>161925</xdr:rowOff>
    </xdr:from>
    <xdr:to>
      <xdr:col>16</xdr:col>
      <xdr:colOff>305811</xdr:colOff>
      <xdr:row>23</xdr:row>
      <xdr:rowOff>150942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3C7EF9A-9DD7-46D3-8ABA-51011BEF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11429</xdr:rowOff>
    </xdr:from>
    <xdr:to>
      <xdr:col>14</xdr:col>
      <xdr:colOff>779145</xdr:colOff>
      <xdr:row>24</xdr:row>
      <xdr:rowOff>38100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FA3045B-BE1C-4E96-9628-7FA094B9C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69D28-C44A-43E6-A412-629DBEA2A058}">
  <dimension ref="A1"/>
  <sheetViews>
    <sheetView tabSelected="1" workbookViewId="0">
      <selection activeCell="J28" sqref="J28"/>
    </sheetView>
  </sheetViews>
  <sheetFormatPr baseColWidth="10" defaultRowHeight="14.4" x14ac:dyDescent="0.5500000000000000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A99F-E3F8-4134-9D07-37BBDD35E53A}">
  <dimension ref="A1:BR145"/>
  <sheetViews>
    <sheetView topLeftCell="AW7" workbookViewId="0">
      <selection activeCell="J6" sqref="J6"/>
    </sheetView>
  </sheetViews>
  <sheetFormatPr baseColWidth="10" defaultRowHeight="14.4" x14ac:dyDescent="0.55000000000000004"/>
  <cols>
    <col min="1" max="16384" width="10.9453125" style="1"/>
  </cols>
  <sheetData>
    <row r="1" spans="1:70" s="3" customFormat="1" x14ac:dyDescent="0.55000000000000004">
      <c r="A1" s="3" t="s">
        <v>2</v>
      </c>
      <c r="B1" s="3" t="s">
        <v>3</v>
      </c>
      <c r="C1" s="3" t="s">
        <v>4</v>
      </c>
      <c r="D1" s="3" t="s">
        <v>5</v>
      </c>
      <c r="E1" s="3" t="s">
        <v>0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3" t="s">
        <v>34</v>
      </c>
      <c r="AI1" s="3" t="s">
        <v>35</v>
      </c>
      <c r="AJ1" s="3" t="s">
        <v>36</v>
      </c>
      <c r="AK1" s="3" t="s">
        <v>37</v>
      </c>
      <c r="AL1" s="3" t="s">
        <v>38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  <c r="AR1" s="3" t="s">
        <v>44</v>
      </c>
      <c r="AS1" s="3" t="s">
        <v>45</v>
      </c>
      <c r="AT1" s="3" t="s">
        <v>46</v>
      </c>
      <c r="AU1" s="3" t="s">
        <v>47</v>
      </c>
      <c r="AV1" s="3" t="s">
        <v>48</v>
      </c>
      <c r="AW1" s="3" t="s">
        <v>49</v>
      </c>
      <c r="AX1" s="3" t="s">
        <v>50</v>
      </c>
      <c r="AY1" s="3" t="s">
        <v>51</v>
      </c>
      <c r="AZ1" s="3" t="s">
        <v>52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3" t="s">
        <v>64</v>
      </c>
      <c r="BM1" s="3" t="s">
        <v>65</v>
      </c>
      <c r="BN1" s="3" t="s">
        <v>66</v>
      </c>
      <c r="BO1" s="3" t="s">
        <v>67</v>
      </c>
      <c r="BP1" s="3" t="s">
        <v>68</v>
      </c>
      <c r="BQ1" s="3" t="s">
        <v>69</v>
      </c>
      <c r="BR1" s="3" t="s">
        <v>70</v>
      </c>
    </row>
    <row r="2" spans="1:70" x14ac:dyDescent="0.55000000000000004">
      <c r="A2" s="1">
        <v>12732</v>
      </c>
      <c r="B2" s="1">
        <v>47.769100000000002</v>
      </c>
      <c r="C2" s="1">
        <v>-4.3418000000000001</v>
      </c>
      <c r="D2" s="1" t="s">
        <v>71</v>
      </c>
      <c r="E2" s="1" t="s">
        <v>72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0.1</v>
      </c>
      <c r="AI2" s="1">
        <v>0</v>
      </c>
      <c r="AJ2" s="1">
        <v>0</v>
      </c>
      <c r="AK2" s="1">
        <v>18.89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0.16</v>
      </c>
      <c r="BR2" s="1">
        <v>0.86</v>
      </c>
    </row>
    <row r="3" spans="1:70" x14ac:dyDescent="0.55000000000000004">
      <c r="A3" s="1">
        <v>12732</v>
      </c>
      <c r="B3" s="1">
        <v>47.769100000000002</v>
      </c>
      <c r="C3" s="1">
        <v>-4.3418000000000001</v>
      </c>
      <c r="D3" s="1" t="s">
        <v>71</v>
      </c>
      <c r="E3" s="1" t="s">
        <v>72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23.57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0.51</v>
      </c>
      <c r="BR3" s="1">
        <v>2.2000000000000002</v>
      </c>
    </row>
    <row r="4" spans="1:70" x14ac:dyDescent="0.55000000000000004">
      <c r="A4" s="1">
        <v>12732</v>
      </c>
      <c r="B4" s="1">
        <v>47.769100000000002</v>
      </c>
      <c r="C4" s="1">
        <v>-4.3418000000000001</v>
      </c>
      <c r="D4" s="1" t="s">
        <v>71</v>
      </c>
      <c r="E4" s="1" t="s">
        <v>72</v>
      </c>
      <c r="F4" s="1">
        <v>3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0.06</v>
      </c>
      <c r="AI4" s="1">
        <v>0</v>
      </c>
      <c r="AJ4" s="1">
        <v>0</v>
      </c>
      <c r="AK4" s="1">
        <v>39.479999999999997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0.16</v>
      </c>
      <c r="BR4" s="1">
        <v>0.42</v>
      </c>
    </row>
    <row r="5" spans="1:70" x14ac:dyDescent="0.55000000000000004">
      <c r="A5" s="1">
        <v>12732</v>
      </c>
      <c r="B5" s="1">
        <v>47.769100000000002</v>
      </c>
      <c r="C5" s="1">
        <v>-4.3418000000000001</v>
      </c>
      <c r="D5" s="1" t="s">
        <v>71</v>
      </c>
      <c r="E5" s="1" t="s">
        <v>72</v>
      </c>
      <c r="F5" s="1">
        <v>4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0.03</v>
      </c>
      <c r="AI5" s="1">
        <v>0</v>
      </c>
      <c r="AJ5" s="1">
        <v>0</v>
      </c>
      <c r="AK5" s="1">
        <v>59.63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2.68</v>
      </c>
      <c r="BR5" s="1">
        <v>4.71</v>
      </c>
    </row>
    <row r="6" spans="1:70" x14ac:dyDescent="0.55000000000000004">
      <c r="A6" s="1">
        <v>12732</v>
      </c>
      <c r="B6" s="1">
        <v>47.769100000000002</v>
      </c>
      <c r="C6" s="1">
        <v>-4.3418000000000001</v>
      </c>
      <c r="D6" s="1" t="s">
        <v>71</v>
      </c>
      <c r="E6" s="1" t="s">
        <v>72</v>
      </c>
      <c r="F6" s="1">
        <v>5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0.06</v>
      </c>
      <c r="AI6" s="1">
        <v>0</v>
      </c>
      <c r="AJ6" s="1">
        <v>0</v>
      </c>
      <c r="AK6" s="1">
        <v>87.22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6.29</v>
      </c>
      <c r="BR6" s="1">
        <v>7.77</v>
      </c>
    </row>
    <row r="7" spans="1:70" x14ac:dyDescent="0.55000000000000004">
      <c r="A7" s="1">
        <v>12732</v>
      </c>
      <c r="B7" s="1">
        <v>47.769100000000002</v>
      </c>
      <c r="C7" s="1">
        <v>-4.3418000000000001</v>
      </c>
      <c r="D7" s="1" t="s">
        <v>71</v>
      </c>
      <c r="E7" s="1" t="s">
        <v>72</v>
      </c>
      <c r="F7" s="1">
        <v>6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0.13</v>
      </c>
      <c r="AI7" s="1">
        <v>0</v>
      </c>
      <c r="AJ7" s="1">
        <v>0</v>
      </c>
      <c r="AK7" s="1">
        <v>83.04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0.02</v>
      </c>
      <c r="BR7" s="1">
        <v>0.02</v>
      </c>
    </row>
    <row r="8" spans="1:70" x14ac:dyDescent="0.55000000000000004">
      <c r="A8" s="1">
        <v>12732</v>
      </c>
      <c r="B8" s="1">
        <v>47.769100000000002</v>
      </c>
      <c r="C8" s="1">
        <v>-4.3418000000000001</v>
      </c>
      <c r="D8" s="1" t="s">
        <v>71</v>
      </c>
      <c r="E8" s="1" t="s">
        <v>72</v>
      </c>
      <c r="F8" s="1">
        <v>7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0.06</v>
      </c>
      <c r="AI8" s="1">
        <v>0</v>
      </c>
      <c r="AJ8" s="1">
        <v>0</v>
      </c>
      <c r="AK8" s="1">
        <v>93.25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-0.1</v>
      </c>
      <c r="BR8" s="1">
        <v>-0.11</v>
      </c>
    </row>
    <row r="9" spans="1:70" x14ac:dyDescent="0.55000000000000004">
      <c r="A9" s="1">
        <v>12732</v>
      </c>
      <c r="B9" s="1">
        <v>47.769100000000002</v>
      </c>
      <c r="C9" s="1">
        <v>-4.3418000000000001</v>
      </c>
      <c r="D9" s="1" t="s">
        <v>71</v>
      </c>
      <c r="E9" s="1" t="s">
        <v>72</v>
      </c>
      <c r="F9" s="1">
        <v>8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80.34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-0.11</v>
      </c>
      <c r="BR9" s="1">
        <v>-0.13</v>
      </c>
    </row>
    <row r="10" spans="1:70" x14ac:dyDescent="0.55000000000000004">
      <c r="A10" s="1">
        <v>12732</v>
      </c>
      <c r="B10" s="1">
        <v>47.769100000000002</v>
      </c>
      <c r="C10" s="1">
        <v>-4.3418000000000001</v>
      </c>
      <c r="D10" s="1" t="s">
        <v>71</v>
      </c>
      <c r="E10" s="1" t="s">
        <v>72</v>
      </c>
      <c r="F10" s="1">
        <v>9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0.28999999999999998</v>
      </c>
      <c r="AI10" s="1">
        <v>0</v>
      </c>
      <c r="AJ10" s="1">
        <v>0</v>
      </c>
      <c r="AK10" s="1">
        <v>62.58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4.1900000000000004</v>
      </c>
      <c r="BR10" s="1">
        <v>7.18</v>
      </c>
    </row>
    <row r="11" spans="1:70" x14ac:dyDescent="0.55000000000000004">
      <c r="A11" s="1">
        <v>12732</v>
      </c>
      <c r="B11" s="1">
        <v>47.769100000000002</v>
      </c>
      <c r="C11" s="1">
        <v>-4.3418000000000001</v>
      </c>
      <c r="D11" s="1" t="s">
        <v>71</v>
      </c>
      <c r="E11" s="1" t="s">
        <v>72</v>
      </c>
      <c r="F11" s="1">
        <v>10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0.06</v>
      </c>
      <c r="AI11" s="1">
        <v>0</v>
      </c>
      <c r="AJ11" s="1">
        <v>0</v>
      </c>
      <c r="AK11" s="1">
        <v>36.35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1.47</v>
      </c>
      <c r="BR11" s="1">
        <v>4.22</v>
      </c>
    </row>
    <row r="12" spans="1:70" x14ac:dyDescent="0.55000000000000004">
      <c r="A12" s="1">
        <v>12732</v>
      </c>
      <c r="B12" s="1">
        <v>47.769100000000002</v>
      </c>
      <c r="C12" s="1">
        <v>-4.3418000000000001</v>
      </c>
      <c r="D12" s="1" t="s">
        <v>71</v>
      </c>
      <c r="E12" s="1" t="s">
        <v>72</v>
      </c>
      <c r="F12" s="1">
        <v>11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0.06</v>
      </c>
      <c r="AI12" s="1">
        <v>0</v>
      </c>
      <c r="AJ12" s="1">
        <v>0</v>
      </c>
      <c r="AK12" s="1">
        <v>20.32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0.59</v>
      </c>
      <c r="BR12" s="1">
        <v>3.01</v>
      </c>
    </row>
    <row r="13" spans="1:70" x14ac:dyDescent="0.55000000000000004">
      <c r="A13" s="1">
        <v>12732</v>
      </c>
      <c r="B13" s="1">
        <v>47.769100000000002</v>
      </c>
      <c r="C13" s="1">
        <v>-4.3418000000000001</v>
      </c>
      <c r="D13" s="1" t="s">
        <v>71</v>
      </c>
      <c r="E13" s="1" t="s">
        <v>72</v>
      </c>
      <c r="F13" s="1">
        <v>12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0.19</v>
      </c>
      <c r="AI13" s="1">
        <v>0</v>
      </c>
      <c r="AJ13" s="1">
        <v>0</v>
      </c>
      <c r="AK13" s="1">
        <v>16.989999999999998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-0.01</v>
      </c>
      <c r="BR13" s="1">
        <v>-0.05</v>
      </c>
    </row>
    <row r="14" spans="1:70" x14ac:dyDescent="0.55000000000000004">
      <c r="A14" s="1">
        <v>12733</v>
      </c>
      <c r="B14" s="1">
        <v>47.775199999999998</v>
      </c>
      <c r="C14" s="1">
        <v>-4.2354000000000003</v>
      </c>
      <c r="D14" s="1" t="s">
        <v>71</v>
      </c>
      <c r="E14" s="1" t="s">
        <v>72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0.1</v>
      </c>
      <c r="AI14" s="1">
        <v>0</v>
      </c>
      <c r="AJ14" s="1">
        <v>0</v>
      </c>
      <c r="AK14" s="1">
        <v>17.239999999999998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0.34</v>
      </c>
      <c r="BR14" s="1">
        <v>2.0299999999999998</v>
      </c>
    </row>
    <row r="15" spans="1:70" x14ac:dyDescent="0.55000000000000004">
      <c r="A15" s="1">
        <v>12733</v>
      </c>
      <c r="B15" s="1">
        <v>47.775199999999998</v>
      </c>
      <c r="C15" s="1">
        <v>-4.2354000000000003</v>
      </c>
      <c r="D15" s="1" t="s">
        <v>71</v>
      </c>
      <c r="E15" s="1" t="s">
        <v>72</v>
      </c>
      <c r="F15" s="1">
        <v>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22.49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0.75</v>
      </c>
      <c r="BR15" s="1">
        <v>3.46</v>
      </c>
    </row>
    <row r="16" spans="1:70" x14ac:dyDescent="0.55000000000000004">
      <c r="A16" s="1">
        <v>12733</v>
      </c>
      <c r="B16" s="1">
        <v>47.775199999999998</v>
      </c>
      <c r="C16" s="1">
        <v>-4.2354000000000003</v>
      </c>
      <c r="D16" s="1" t="s">
        <v>71</v>
      </c>
      <c r="E16" s="1" t="s">
        <v>72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0.06</v>
      </c>
      <c r="AI16" s="1">
        <v>0</v>
      </c>
      <c r="AJ16" s="1">
        <v>0</v>
      </c>
      <c r="AK16" s="1">
        <v>40.49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0.31</v>
      </c>
      <c r="BR16" s="1">
        <v>0.77</v>
      </c>
    </row>
    <row r="17" spans="1:70" x14ac:dyDescent="0.55000000000000004">
      <c r="A17" s="1">
        <v>12733</v>
      </c>
      <c r="B17" s="1">
        <v>47.775199999999998</v>
      </c>
      <c r="C17" s="1">
        <v>-4.2354000000000003</v>
      </c>
      <c r="D17" s="1" t="s">
        <v>71</v>
      </c>
      <c r="E17" s="1" t="s">
        <v>72</v>
      </c>
      <c r="F17" s="1">
        <v>4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0.03</v>
      </c>
      <c r="AI17" s="1">
        <v>0</v>
      </c>
      <c r="AJ17" s="1">
        <v>0</v>
      </c>
      <c r="AK17" s="1">
        <v>61.77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2.79</v>
      </c>
      <c r="BR17" s="1">
        <v>4.7300000000000004</v>
      </c>
    </row>
    <row r="18" spans="1:70" x14ac:dyDescent="0.55000000000000004">
      <c r="A18" s="1">
        <v>12733</v>
      </c>
      <c r="B18" s="1">
        <v>47.775199999999998</v>
      </c>
      <c r="C18" s="1">
        <v>-4.2354000000000003</v>
      </c>
      <c r="D18" s="1" t="s">
        <v>71</v>
      </c>
      <c r="E18" s="1" t="s">
        <v>72</v>
      </c>
      <c r="F18" s="1">
        <v>5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0.06</v>
      </c>
      <c r="AI18" s="1">
        <v>0</v>
      </c>
      <c r="AJ18" s="1">
        <v>0</v>
      </c>
      <c r="AK18" s="1">
        <v>90.02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6.07</v>
      </c>
      <c r="BR18" s="1">
        <v>7.24</v>
      </c>
    </row>
    <row r="19" spans="1:70" x14ac:dyDescent="0.55000000000000004">
      <c r="A19" s="1">
        <v>12733</v>
      </c>
      <c r="B19" s="1">
        <v>47.775199999999998</v>
      </c>
      <c r="C19" s="1">
        <v>-4.2354000000000003</v>
      </c>
      <c r="D19" s="1" t="s">
        <v>71</v>
      </c>
      <c r="E19" s="1" t="s">
        <v>72</v>
      </c>
      <c r="F19" s="1">
        <v>6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0.13</v>
      </c>
      <c r="AI19" s="1">
        <v>0</v>
      </c>
      <c r="AJ19" s="1">
        <v>0</v>
      </c>
      <c r="AK19" s="1">
        <v>89.15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0.4</v>
      </c>
      <c r="BR19" s="1">
        <v>0.45</v>
      </c>
    </row>
    <row r="20" spans="1:70" x14ac:dyDescent="0.55000000000000004">
      <c r="A20" s="1">
        <v>12733</v>
      </c>
      <c r="B20" s="1">
        <v>47.775199999999998</v>
      </c>
      <c r="C20" s="1">
        <v>-4.2354000000000003</v>
      </c>
      <c r="D20" s="1" t="s">
        <v>71</v>
      </c>
      <c r="E20" s="1" t="s">
        <v>72</v>
      </c>
      <c r="F20" s="1">
        <v>7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0.1</v>
      </c>
      <c r="AI20" s="1">
        <v>0</v>
      </c>
      <c r="AJ20" s="1">
        <v>0</v>
      </c>
      <c r="AK20" s="1">
        <v>100.29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0.28999999999999998</v>
      </c>
      <c r="BR20" s="1">
        <v>0.28999999999999998</v>
      </c>
    </row>
    <row r="21" spans="1:70" x14ac:dyDescent="0.55000000000000004">
      <c r="A21" s="1">
        <v>12733</v>
      </c>
      <c r="B21" s="1">
        <v>47.775199999999998</v>
      </c>
      <c r="C21" s="1">
        <v>-4.2354000000000003</v>
      </c>
      <c r="D21" s="1" t="s">
        <v>71</v>
      </c>
      <c r="E21" s="1" t="s">
        <v>72</v>
      </c>
      <c r="F21" s="1">
        <v>8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86.48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0.14000000000000001</v>
      </c>
      <c r="BR21" s="1">
        <v>0.16</v>
      </c>
    </row>
    <row r="22" spans="1:70" x14ac:dyDescent="0.55000000000000004">
      <c r="A22" s="1">
        <v>12733</v>
      </c>
      <c r="B22" s="1">
        <v>47.775199999999998</v>
      </c>
      <c r="C22" s="1">
        <v>-4.2354000000000003</v>
      </c>
      <c r="D22" s="1" t="s">
        <v>71</v>
      </c>
      <c r="E22" s="1" t="s">
        <v>72</v>
      </c>
      <c r="F22" s="1">
        <v>9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0.28999999999999998</v>
      </c>
      <c r="AI22" s="1">
        <v>0</v>
      </c>
      <c r="AJ22" s="1">
        <v>0</v>
      </c>
      <c r="AK22" s="1">
        <v>65.23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4.21</v>
      </c>
      <c r="BR22" s="1">
        <v>6.9</v>
      </c>
    </row>
    <row r="23" spans="1:70" x14ac:dyDescent="0.55000000000000004">
      <c r="A23" s="1">
        <v>12733</v>
      </c>
      <c r="B23" s="1">
        <v>47.775199999999998</v>
      </c>
      <c r="C23" s="1">
        <v>-4.2354000000000003</v>
      </c>
      <c r="D23" s="1" t="s">
        <v>71</v>
      </c>
      <c r="E23" s="1" t="s">
        <v>72</v>
      </c>
      <c r="F23" s="1">
        <v>10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37.25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1.96</v>
      </c>
      <c r="BR23" s="1">
        <v>5.55</v>
      </c>
    </row>
    <row r="24" spans="1:70" x14ac:dyDescent="0.55000000000000004">
      <c r="A24" s="1">
        <v>12733</v>
      </c>
      <c r="B24" s="1">
        <v>47.775199999999998</v>
      </c>
      <c r="C24" s="1">
        <v>-4.2354000000000003</v>
      </c>
      <c r="D24" s="1" t="s">
        <v>71</v>
      </c>
      <c r="E24" s="1" t="s">
        <v>72</v>
      </c>
      <c r="F24" s="1">
        <v>11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0.06</v>
      </c>
      <c r="AI24" s="1">
        <v>0</v>
      </c>
      <c r="AJ24" s="1">
        <v>0</v>
      </c>
      <c r="AK24" s="1">
        <v>19.48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0.85</v>
      </c>
      <c r="BR24" s="1">
        <v>4.5599999999999996</v>
      </c>
    </row>
    <row r="25" spans="1:70" x14ac:dyDescent="0.55000000000000004">
      <c r="A25" s="1">
        <v>12733</v>
      </c>
      <c r="B25" s="1">
        <v>47.775199999999998</v>
      </c>
      <c r="C25" s="1">
        <v>-4.2354000000000003</v>
      </c>
      <c r="D25" s="1" t="s">
        <v>71</v>
      </c>
      <c r="E25" s="1" t="s">
        <v>72</v>
      </c>
      <c r="F25" s="1">
        <v>12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0.19</v>
      </c>
      <c r="AI25" s="1">
        <v>0</v>
      </c>
      <c r="AJ25" s="1">
        <v>0</v>
      </c>
      <c r="AK25" s="1">
        <v>15.5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0.18</v>
      </c>
      <c r="BR25" s="1">
        <v>1.19</v>
      </c>
    </row>
    <row r="26" spans="1:70" x14ac:dyDescent="0.55000000000000004">
      <c r="A26" s="1">
        <v>12875</v>
      </c>
      <c r="B26" s="1">
        <v>47.840800000000002</v>
      </c>
      <c r="C26" s="1">
        <v>-4.3507999999999996</v>
      </c>
      <c r="D26" s="1" t="s">
        <v>71</v>
      </c>
      <c r="E26" s="1" t="s">
        <v>72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0.1</v>
      </c>
      <c r="AI26" s="1">
        <v>0</v>
      </c>
      <c r="AJ26" s="1">
        <v>0</v>
      </c>
      <c r="AK26" s="1">
        <v>18.87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0.15</v>
      </c>
      <c r="BR26" s="1">
        <v>0.79</v>
      </c>
    </row>
    <row r="27" spans="1:70" x14ac:dyDescent="0.55000000000000004">
      <c r="A27" s="1">
        <v>12875</v>
      </c>
      <c r="B27" s="1">
        <v>47.840800000000002</v>
      </c>
      <c r="C27" s="1">
        <v>-4.3507999999999996</v>
      </c>
      <c r="D27" s="1" t="s">
        <v>71</v>
      </c>
      <c r="E27" s="1" t="s">
        <v>72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23.52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0.5</v>
      </c>
      <c r="BR27" s="1">
        <v>2.1800000000000002</v>
      </c>
    </row>
    <row r="28" spans="1:70" x14ac:dyDescent="0.55000000000000004">
      <c r="A28" s="1">
        <v>12875</v>
      </c>
      <c r="B28" s="1">
        <v>47.840800000000002</v>
      </c>
      <c r="C28" s="1">
        <v>-4.3507999999999996</v>
      </c>
      <c r="D28" s="1" t="s">
        <v>71</v>
      </c>
      <c r="E28" s="1" t="s">
        <v>72</v>
      </c>
      <c r="F28" s="1">
        <v>3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0.06</v>
      </c>
      <c r="AI28" s="1">
        <v>0</v>
      </c>
      <c r="AJ28" s="1">
        <v>0</v>
      </c>
      <c r="AK28" s="1">
        <v>39.369999999999997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0.17</v>
      </c>
      <c r="BR28" s="1">
        <v>0.44</v>
      </c>
    </row>
    <row r="29" spans="1:70" x14ac:dyDescent="0.55000000000000004">
      <c r="A29" s="1">
        <v>12875</v>
      </c>
      <c r="B29" s="1">
        <v>47.840800000000002</v>
      </c>
      <c r="C29" s="1">
        <v>-4.3507999999999996</v>
      </c>
      <c r="D29" s="1" t="s">
        <v>71</v>
      </c>
      <c r="E29" s="1" t="s">
        <v>72</v>
      </c>
      <c r="F29" s="1">
        <v>4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0.03</v>
      </c>
      <c r="AI29" s="1">
        <v>0</v>
      </c>
      <c r="AJ29" s="1">
        <v>0</v>
      </c>
      <c r="AK29" s="1">
        <v>59.42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2.69</v>
      </c>
      <c r="BR29" s="1">
        <v>4.74</v>
      </c>
    </row>
    <row r="30" spans="1:70" x14ac:dyDescent="0.55000000000000004">
      <c r="A30" s="1">
        <v>12875</v>
      </c>
      <c r="B30" s="1">
        <v>47.840800000000002</v>
      </c>
      <c r="C30" s="1">
        <v>-4.3507999999999996</v>
      </c>
      <c r="D30" s="1" t="s">
        <v>71</v>
      </c>
      <c r="E30" s="1" t="s">
        <v>72</v>
      </c>
      <c r="F30" s="1">
        <v>5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0.06</v>
      </c>
      <c r="AI30" s="1">
        <v>0</v>
      </c>
      <c r="AJ30" s="1">
        <v>0</v>
      </c>
      <c r="AK30" s="1">
        <v>87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6.31</v>
      </c>
      <c r="BR30" s="1">
        <v>7.82</v>
      </c>
    </row>
    <row r="31" spans="1:70" x14ac:dyDescent="0.55000000000000004">
      <c r="A31" s="1">
        <v>12875</v>
      </c>
      <c r="B31" s="1">
        <v>47.840800000000002</v>
      </c>
      <c r="C31" s="1">
        <v>-4.3507999999999996</v>
      </c>
      <c r="D31" s="1" t="s">
        <v>71</v>
      </c>
      <c r="E31" s="1" t="s">
        <v>72</v>
      </c>
      <c r="F31" s="1">
        <v>6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0.13</v>
      </c>
      <c r="AI31" s="1">
        <v>0</v>
      </c>
      <c r="AJ31" s="1">
        <v>0</v>
      </c>
      <c r="AK31" s="1">
        <v>82.78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0.03</v>
      </c>
      <c r="BR31" s="1">
        <v>0.04</v>
      </c>
    </row>
    <row r="32" spans="1:70" x14ac:dyDescent="0.55000000000000004">
      <c r="A32" s="1">
        <v>12875</v>
      </c>
      <c r="B32" s="1">
        <v>47.840800000000002</v>
      </c>
      <c r="C32" s="1">
        <v>-4.3507999999999996</v>
      </c>
      <c r="D32" s="1" t="s">
        <v>71</v>
      </c>
      <c r="E32" s="1" t="s">
        <v>72</v>
      </c>
      <c r="F32" s="1">
        <v>7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0.06</v>
      </c>
      <c r="AI32" s="1">
        <v>0</v>
      </c>
      <c r="AJ32" s="1">
        <v>0</v>
      </c>
      <c r="AK32" s="1">
        <v>93.04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-7.0000000000000007E-2</v>
      </c>
      <c r="BR32" s="1">
        <v>-0.08</v>
      </c>
    </row>
    <row r="33" spans="1:70" x14ac:dyDescent="0.55000000000000004">
      <c r="A33" s="1">
        <v>12875</v>
      </c>
      <c r="B33" s="1">
        <v>47.840800000000002</v>
      </c>
      <c r="C33" s="1">
        <v>-4.3507999999999996</v>
      </c>
      <c r="D33" s="1" t="s">
        <v>71</v>
      </c>
      <c r="E33" s="1" t="s">
        <v>72</v>
      </c>
      <c r="F33" s="1">
        <v>8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80.180000000000007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-0.08</v>
      </c>
      <c r="BR33" s="1">
        <v>-0.1</v>
      </c>
    </row>
    <row r="34" spans="1:70" x14ac:dyDescent="0.55000000000000004">
      <c r="A34" s="1">
        <v>12875</v>
      </c>
      <c r="B34" s="1">
        <v>47.840800000000002</v>
      </c>
      <c r="C34" s="1">
        <v>-4.3507999999999996</v>
      </c>
      <c r="D34" s="1" t="s">
        <v>71</v>
      </c>
      <c r="E34" s="1" t="s">
        <v>72</v>
      </c>
      <c r="F34" s="1">
        <v>9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0.28999999999999998</v>
      </c>
      <c r="AI34" s="1">
        <v>0</v>
      </c>
      <c r="AJ34" s="1">
        <v>0</v>
      </c>
      <c r="AK34" s="1">
        <v>62.38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4.1900000000000004</v>
      </c>
      <c r="BR34" s="1">
        <v>7.2</v>
      </c>
    </row>
    <row r="35" spans="1:70" x14ac:dyDescent="0.55000000000000004">
      <c r="A35" s="1">
        <v>12875</v>
      </c>
      <c r="B35" s="1">
        <v>47.840800000000002</v>
      </c>
      <c r="C35" s="1">
        <v>-4.3507999999999996</v>
      </c>
      <c r="D35" s="1" t="s">
        <v>71</v>
      </c>
      <c r="E35" s="1" t="s">
        <v>72</v>
      </c>
      <c r="F35" s="1">
        <v>10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0.06</v>
      </c>
      <c r="AI35" s="1">
        <v>0</v>
      </c>
      <c r="AJ35" s="1">
        <v>0</v>
      </c>
      <c r="AK35" s="1">
        <v>36.24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1.45</v>
      </c>
      <c r="BR35" s="1">
        <v>4.18</v>
      </c>
    </row>
    <row r="36" spans="1:70" x14ac:dyDescent="0.55000000000000004">
      <c r="A36" s="1">
        <v>12875</v>
      </c>
      <c r="B36" s="1">
        <v>47.840800000000002</v>
      </c>
      <c r="C36" s="1">
        <v>-4.3507999999999996</v>
      </c>
      <c r="D36" s="1" t="s">
        <v>71</v>
      </c>
      <c r="E36" s="1" t="s">
        <v>72</v>
      </c>
      <c r="F36" s="1">
        <v>11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0.06</v>
      </c>
      <c r="AI36" s="1">
        <v>0</v>
      </c>
      <c r="AJ36" s="1">
        <v>0</v>
      </c>
      <c r="AK36" s="1">
        <v>20.32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0.57999999999999996</v>
      </c>
      <c r="BR36" s="1">
        <v>2.96</v>
      </c>
    </row>
    <row r="37" spans="1:70" x14ac:dyDescent="0.55000000000000004">
      <c r="A37" s="1">
        <v>12875</v>
      </c>
      <c r="B37" s="1">
        <v>47.840800000000002</v>
      </c>
      <c r="C37" s="1">
        <v>-4.3507999999999996</v>
      </c>
      <c r="D37" s="1" t="s">
        <v>71</v>
      </c>
      <c r="E37" s="1" t="s">
        <v>72</v>
      </c>
      <c r="F37" s="1">
        <v>12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0.19</v>
      </c>
      <c r="AI37" s="1">
        <v>0</v>
      </c>
      <c r="AJ37" s="1">
        <v>0</v>
      </c>
      <c r="AK37" s="1">
        <v>16.98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-0.01</v>
      </c>
      <c r="BR37" s="1">
        <v>-0.04</v>
      </c>
    </row>
    <row r="38" spans="1:70" x14ac:dyDescent="0.55000000000000004">
      <c r="A38" s="1">
        <v>12876</v>
      </c>
      <c r="B38" s="1">
        <v>47.846899999999998</v>
      </c>
      <c r="C38" s="1">
        <v>-4.2443</v>
      </c>
      <c r="D38" s="1" t="s">
        <v>71</v>
      </c>
      <c r="E38" s="1" t="s">
        <v>72</v>
      </c>
      <c r="F38" s="1">
        <v>1</v>
      </c>
      <c r="G38" s="1">
        <v>7.56</v>
      </c>
      <c r="H38" s="1">
        <v>5.5</v>
      </c>
      <c r="I38" s="1">
        <v>9.6199999999999992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">
        <v>2</v>
      </c>
      <c r="P38" s="1">
        <v>2</v>
      </c>
      <c r="Q38" s="1">
        <v>0</v>
      </c>
      <c r="R38" s="1">
        <v>0</v>
      </c>
      <c r="S38" s="1">
        <v>0</v>
      </c>
      <c r="T38" s="1">
        <v>4.12</v>
      </c>
      <c r="U38" s="1">
        <v>12.33</v>
      </c>
      <c r="V38" s="1">
        <v>5.65</v>
      </c>
      <c r="W38" s="1">
        <v>0.34</v>
      </c>
      <c r="X38" s="1">
        <v>9.4700000000000006</v>
      </c>
      <c r="Y38" s="1">
        <v>292.64999999999998</v>
      </c>
      <c r="Z38" s="1">
        <v>0</v>
      </c>
      <c r="AA38" s="1">
        <v>4</v>
      </c>
      <c r="AB38" s="1">
        <v>124.02</v>
      </c>
      <c r="AC38" s="1">
        <v>15.07</v>
      </c>
      <c r="AD38" s="1">
        <v>0</v>
      </c>
      <c r="AE38" s="1">
        <v>61.72</v>
      </c>
      <c r="AF38" s="1">
        <v>6</v>
      </c>
      <c r="AG38" s="1">
        <v>7</v>
      </c>
      <c r="AH38" s="1">
        <v>0.1</v>
      </c>
      <c r="AI38" s="1">
        <v>7.76</v>
      </c>
      <c r="AJ38" s="1">
        <v>5.82</v>
      </c>
      <c r="AK38" s="1">
        <v>17.18</v>
      </c>
      <c r="AL38" s="1">
        <v>0.88</v>
      </c>
      <c r="AM38" s="1">
        <v>0.92</v>
      </c>
      <c r="AN38" s="1">
        <v>0.85</v>
      </c>
      <c r="AO38" s="1">
        <v>0</v>
      </c>
      <c r="AP38" s="1">
        <v>0</v>
      </c>
      <c r="AQ38" s="1">
        <v>0</v>
      </c>
      <c r="AR38" s="1">
        <v>2</v>
      </c>
      <c r="AS38" s="1">
        <v>0</v>
      </c>
      <c r="AT38" s="1">
        <v>-2</v>
      </c>
      <c r="AU38" s="1">
        <v>-1</v>
      </c>
      <c r="AV38" s="1">
        <v>0</v>
      </c>
      <c r="AW38" s="1">
        <v>0</v>
      </c>
      <c r="AX38" s="1">
        <v>0</v>
      </c>
      <c r="AY38" s="1">
        <v>-7.0000000000000007E-2</v>
      </c>
      <c r="AZ38" s="1">
        <v>0.44</v>
      </c>
      <c r="BA38" s="1">
        <v>1.1100000000000001</v>
      </c>
      <c r="BB38" s="1">
        <v>0.47</v>
      </c>
      <c r="BC38" s="1">
        <v>0.7</v>
      </c>
      <c r="BD38" s="1">
        <v>-27.41</v>
      </c>
      <c r="BE38" s="1">
        <v>0</v>
      </c>
      <c r="BF38" s="1">
        <v>0.39</v>
      </c>
      <c r="BG38" s="1">
        <v>12</v>
      </c>
      <c r="BH38" s="1">
        <v>0.1</v>
      </c>
      <c r="BI38" s="1">
        <v>0</v>
      </c>
      <c r="BJ38" s="1">
        <v>3.17</v>
      </c>
      <c r="BK38" s="1">
        <v>1</v>
      </c>
      <c r="BL38" s="1">
        <v>0</v>
      </c>
      <c r="BM38" s="1">
        <v>0.72</v>
      </c>
      <c r="BN38" s="1">
        <v>-0.06</v>
      </c>
      <c r="BO38" s="1">
        <v>0.67</v>
      </c>
      <c r="BP38" s="1">
        <v>0.34</v>
      </c>
      <c r="BQ38" s="1">
        <v>0.32</v>
      </c>
      <c r="BR38" s="1">
        <v>1.9</v>
      </c>
    </row>
    <row r="39" spans="1:70" x14ac:dyDescent="0.55000000000000004">
      <c r="A39" s="1">
        <v>12876</v>
      </c>
      <c r="B39" s="1">
        <v>47.846899999999998</v>
      </c>
      <c r="C39" s="1">
        <v>-4.2443</v>
      </c>
      <c r="D39" s="1" t="s">
        <v>71</v>
      </c>
      <c r="E39" s="1" t="s">
        <v>72</v>
      </c>
      <c r="F39" s="1">
        <v>2</v>
      </c>
      <c r="G39" s="1">
        <v>7.45</v>
      </c>
      <c r="H39" s="1">
        <v>5.0999999999999996</v>
      </c>
      <c r="I39" s="1">
        <v>9.7899999999999991</v>
      </c>
      <c r="J39" s="1">
        <v>0</v>
      </c>
      <c r="K39" s="1">
        <v>0</v>
      </c>
      <c r="L39" s="1">
        <v>0</v>
      </c>
      <c r="M39" s="1">
        <v>3</v>
      </c>
      <c r="N39" s="1">
        <v>0</v>
      </c>
      <c r="O39" s="1">
        <v>2</v>
      </c>
      <c r="P39" s="1">
        <v>1</v>
      </c>
      <c r="Q39" s="1">
        <v>0</v>
      </c>
      <c r="R39" s="1">
        <v>0</v>
      </c>
      <c r="S39" s="1">
        <v>0</v>
      </c>
      <c r="T39" s="1">
        <v>4.6900000000000004</v>
      </c>
      <c r="U39" s="1">
        <v>12.17</v>
      </c>
      <c r="V39" s="1">
        <v>7.03</v>
      </c>
      <c r="W39" s="1">
        <v>1.07</v>
      </c>
      <c r="X39" s="1">
        <v>8.9</v>
      </c>
      <c r="Y39" s="1">
        <v>269.63</v>
      </c>
      <c r="Z39" s="1">
        <v>0</v>
      </c>
      <c r="AA39" s="1">
        <v>3.56</v>
      </c>
      <c r="AB39" s="1">
        <v>100.52</v>
      </c>
      <c r="AC39" s="1">
        <v>12.8</v>
      </c>
      <c r="AD39" s="1">
        <v>0</v>
      </c>
      <c r="AE39" s="1">
        <v>57.76</v>
      </c>
      <c r="AF39" s="1">
        <v>5</v>
      </c>
      <c r="AG39" s="1">
        <v>7</v>
      </c>
      <c r="AH39" s="1">
        <v>0</v>
      </c>
      <c r="AI39" s="1">
        <v>7.5</v>
      </c>
      <c r="AJ39" s="1">
        <v>5.66</v>
      </c>
      <c r="AK39" s="1">
        <v>22.38</v>
      </c>
      <c r="AL39" s="1">
        <v>0.78</v>
      </c>
      <c r="AM39" s="1">
        <v>0.85</v>
      </c>
      <c r="AN39" s="1">
        <v>0.7</v>
      </c>
      <c r="AO39" s="1">
        <v>0</v>
      </c>
      <c r="AP39" s="1">
        <v>0</v>
      </c>
      <c r="AQ39" s="1">
        <v>0</v>
      </c>
      <c r="AR39" s="1">
        <v>1</v>
      </c>
      <c r="AS39" s="1">
        <v>0</v>
      </c>
      <c r="AT39" s="1">
        <v>-1</v>
      </c>
      <c r="AU39" s="1">
        <v>-1</v>
      </c>
      <c r="AV39" s="1">
        <v>0</v>
      </c>
      <c r="AW39" s="1">
        <v>0</v>
      </c>
      <c r="AX39" s="1">
        <v>0</v>
      </c>
      <c r="AY39" s="1">
        <v>-0.15</v>
      </c>
      <c r="AZ39" s="1">
        <v>0.62</v>
      </c>
      <c r="BA39" s="1">
        <v>1.39</v>
      </c>
      <c r="BB39" s="1">
        <v>0.98</v>
      </c>
      <c r="BC39" s="1">
        <v>0.85</v>
      </c>
      <c r="BD39" s="1">
        <v>-22.37</v>
      </c>
      <c r="BE39" s="1">
        <v>0</v>
      </c>
      <c r="BF39" s="1">
        <v>0.85</v>
      </c>
      <c r="BG39" s="1">
        <v>23.88</v>
      </c>
      <c r="BH39" s="1">
        <v>1.93</v>
      </c>
      <c r="BI39" s="1">
        <v>0</v>
      </c>
      <c r="BJ39" s="1">
        <v>1.9</v>
      </c>
      <c r="BK39" s="1">
        <v>1</v>
      </c>
      <c r="BL39" s="1">
        <v>-2</v>
      </c>
      <c r="BM39" s="1">
        <v>0.85</v>
      </c>
      <c r="BN39" s="1">
        <v>0.08</v>
      </c>
      <c r="BO39" s="1">
        <v>-0.83</v>
      </c>
      <c r="BP39" s="1">
        <v>0.31</v>
      </c>
      <c r="BQ39" s="1">
        <v>0.74</v>
      </c>
      <c r="BR39" s="1">
        <v>3.41</v>
      </c>
    </row>
    <row r="40" spans="1:70" x14ac:dyDescent="0.55000000000000004">
      <c r="A40" s="1">
        <v>12876</v>
      </c>
      <c r="B40" s="1">
        <v>47.846899999999998</v>
      </c>
      <c r="C40" s="1">
        <v>-4.2443</v>
      </c>
      <c r="D40" s="1" t="s">
        <v>71</v>
      </c>
      <c r="E40" s="1" t="s">
        <v>72</v>
      </c>
      <c r="F40" s="1">
        <v>3</v>
      </c>
      <c r="G40" s="1">
        <v>9.17</v>
      </c>
      <c r="H40" s="1">
        <v>6.29</v>
      </c>
      <c r="I40" s="1">
        <v>12.05</v>
      </c>
      <c r="J40" s="1">
        <v>0</v>
      </c>
      <c r="K40" s="1">
        <v>0</v>
      </c>
      <c r="L40" s="1">
        <v>1</v>
      </c>
      <c r="M40" s="1">
        <v>2</v>
      </c>
      <c r="N40" s="1">
        <v>0</v>
      </c>
      <c r="O40" s="1">
        <v>0</v>
      </c>
      <c r="P40" s="1">
        <v>2</v>
      </c>
      <c r="Q40" s="1">
        <v>0</v>
      </c>
      <c r="R40" s="1">
        <v>0</v>
      </c>
      <c r="S40" s="1">
        <v>0</v>
      </c>
      <c r="T40" s="1">
        <v>5.76</v>
      </c>
      <c r="U40" s="1">
        <v>15.11</v>
      </c>
      <c r="V40" s="1">
        <v>8.67</v>
      </c>
      <c r="W40" s="1">
        <v>1.85</v>
      </c>
      <c r="X40" s="1">
        <v>10.02</v>
      </c>
      <c r="Y40" s="1">
        <v>242.82</v>
      </c>
      <c r="Z40" s="1">
        <v>0.06</v>
      </c>
      <c r="AA40" s="1">
        <v>3.2</v>
      </c>
      <c r="AB40" s="1">
        <v>99.07</v>
      </c>
      <c r="AC40" s="1">
        <v>14.17</v>
      </c>
      <c r="AD40" s="1">
        <v>0</v>
      </c>
      <c r="AE40" s="1">
        <v>48.94</v>
      </c>
      <c r="AF40" s="1">
        <v>6</v>
      </c>
      <c r="AG40" s="1">
        <v>8</v>
      </c>
      <c r="AH40" s="1">
        <v>0.06</v>
      </c>
      <c r="AI40" s="1">
        <v>6.45</v>
      </c>
      <c r="AJ40" s="1">
        <v>6.22</v>
      </c>
      <c r="AK40" s="1">
        <v>40.28</v>
      </c>
      <c r="AL40" s="1">
        <v>0.43</v>
      </c>
      <c r="AM40" s="1">
        <v>0.33</v>
      </c>
      <c r="AN40" s="1">
        <v>0.54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0.21</v>
      </c>
      <c r="AZ40" s="1">
        <v>0.46</v>
      </c>
      <c r="BA40" s="1">
        <v>0.65</v>
      </c>
      <c r="BB40" s="1">
        <v>-0.03</v>
      </c>
      <c r="BC40" s="1">
        <v>0.42</v>
      </c>
      <c r="BD40" s="1">
        <v>-13.39</v>
      </c>
      <c r="BE40" s="1">
        <v>0.06</v>
      </c>
      <c r="BF40" s="1">
        <v>0.57999999999999996</v>
      </c>
      <c r="BG40" s="1">
        <v>17.89</v>
      </c>
      <c r="BH40" s="1">
        <v>1.07</v>
      </c>
      <c r="BI40" s="1">
        <v>0</v>
      </c>
      <c r="BJ40" s="1">
        <v>2.72</v>
      </c>
      <c r="BK40" s="1">
        <v>1</v>
      </c>
      <c r="BL40" s="1">
        <v>-1</v>
      </c>
      <c r="BM40" s="1">
        <v>0.72</v>
      </c>
      <c r="BN40" s="1">
        <v>-0.16</v>
      </c>
      <c r="BO40" s="1">
        <v>0.47</v>
      </c>
      <c r="BP40" s="1">
        <v>0.24</v>
      </c>
      <c r="BQ40" s="1">
        <v>0.31</v>
      </c>
      <c r="BR40" s="1">
        <v>0.78</v>
      </c>
    </row>
    <row r="41" spans="1:70" x14ac:dyDescent="0.55000000000000004">
      <c r="A41" s="1">
        <v>12876</v>
      </c>
      <c r="B41" s="1">
        <v>47.846899999999998</v>
      </c>
      <c r="C41" s="1">
        <v>-4.2443</v>
      </c>
      <c r="D41" s="1" t="s">
        <v>71</v>
      </c>
      <c r="E41" s="1" t="s">
        <v>72</v>
      </c>
      <c r="F41" s="1">
        <v>4</v>
      </c>
      <c r="G41" s="1">
        <v>11.33</v>
      </c>
      <c r="H41" s="1">
        <v>8.24</v>
      </c>
      <c r="I41" s="1">
        <v>14.42</v>
      </c>
      <c r="J41" s="1">
        <v>0</v>
      </c>
      <c r="K41" s="1">
        <v>0</v>
      </c>
      <c r="L41" s="1">
        <v>3</v>
      </c>
      <c r="M41" s="1">
        <v>2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6.18</v>
      </c>
      <c r="U41" s="1">
        <v>18.02</v>
      </c>
      <c r="V41" s="1">
        <v>10.91</v>
      </c>
      <c r="W41" s="1">
        <v>4.34</v>
      </c>
      <c r="X41" s="1">
        <v>11.29</v>
      </c>
      <c r="Y41" s="1">
        <v>171.14</v>
      </c>
      <c r="Z41" s="1">
        <v>0.57999999999999996</v>
      </c>
      <c r="AA41" s="1">
        <v>2.46</v>
      </c>
      <c r="AB41" s="1">
        <v>73.83</v>
      </c>
      <c r="AC41" s="1">
        <v>11.53</v>
      </c>
      <c r="AD41" s="1">
        <v>0</v>
      </c>
      <c r="AE41" s="1">
        <v>46.6</v>
      </c>
      <c r="AF41" s="1">
        <v>4</v>
      </c>
      <c r="AG41" s="1">
        <v>9</v>
      </c>
      <c r="AH41" s="1">
        <v>0.03</v>
      </c>
      <c r="AI41" s="1">
        <v>6.18</v>
      </c>
      <c r="AJ41" s="1">
        <v>6.84</v>
      </c>
      <c r="AK41" s="1">
        <v>61.36</v>
      </c>
      <c r="AL41" s="1">
        <v>1.01</v>
      </c>
      <c r="AM41" s="1">
        <v>1.06</v>
      </c>
      <c r="AN41" s="1">
        <v>0.96</v>
      </c>
      <c r="AO41" s="1">
        <v>0</v>
      </c>
      <c r="AP41" s="1">
        <v>0</v>
      </c>
      <c r="AQ41" s="1">
        <v>1</v>
      </c>
      <c r="AR41" s="1">
        <v>2</v>
      </c>
      <c r="AS41" s="1">
        <v>0</v>
      </c>
      <c r="AT41" s="1">
        <v>0</v>
      </c>
      <c r="AU41" s="1">
        <v>-1</v>
      </c>
      <c r="AV41" s="1">
        <v>0</v>
      </c>
      <c r="AW41" s="1">
        <v>0</v>
      </c>
      <c r="AX41" s="1">
        <v>0</v>
      </c>
      <c r="AY41" s="1">
        <v>-0.1</v>
      </c>
      <c r="AZ41" s="1">
        <v>0.78</v>
      </c>
      <c r="BA41" s="1">
        <v>0.97</v>
      </c>
      <c r="BB41" s="1">
        <v>1.1299999999999999</v>
      </c>
      <c r="BC41" s="1">
        <v>0.72</v>
      </c>
      <c r="BD41" s="1">
        <v>-30.11</v>
      </c>
      <c r="BE41" s="1">
        <v>0.04</v>
      </c>
      <c r="BF41" s="1">
        <v>-0.08</v>
      </c>
      <c r="BG41" s="1">
        <v>-2.44</v>
      </c>
      <c r="BH41" s="1">
        <v>-0.5</v>
      </c>
      <c r="BI41" s="1">
        <v>0</v>
      </c>
      <c r="BJ41" s="1">
        <v>0.13</v>
      </c>
      <c r="BK41" s="1">
        <v>-1</v>
      </c>
      <c r="BL41" s="1">
        <v>1</v>
      </c>
      <c r="BM41" s="1">
        <v>0.35</v>
      </c>
      <c r="BN41" s="1">
        <v>-0.06</v>
      </c>
      <c r="BO41" s="1">
        <v>0.43</v>
      </c>
      <c r="BP41" s="1">
        <v>0.42</v>
      </c>
      <c r="BQ41" s="1">
        <v>2.78</v>
      </c>
      <c r="BR41" s="1">
        <v>4.75</v>
      </c>
    </row>
    <row r="42" spans="1:70" x14ac:dyDescent="0.55000000000000004">
      <c r="A42" s="1">
        <v>12876</v>
      </c>
      <c r="B42" s="1">
        <v>47.846899999999998</v>
      </c>
      <c r="C42" s="1">
        <v>-4.2443</v>
      </c>
      <c r="D42" s="1" t="s">
        <v>71</v>
      </c>
      <c r="E42" s="1" t="s">
        <v>72</v>
      </c>
      <c r="F42" s="1">
        <v>5</v>
      </c>
      <c r="G42" s="1">
        <v>14.61</v>
      </c>
      <c r="H42" s="1">
        <v>11.33</v>
      </c>
      <c r="I42" s="1">
        <v>17.88</v>
      </c>
      <c r="J42" s="1">
        <v>3</v>
      </c>
      <c r="K42" s="1">
        <v>0</v>
      </c>
      <c r="L42" s="1">
        <v>6</v>
      </c>
      <c r="M42" s="1">
        <v>2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3</v>
      </c>
      <c r="T42" s="1">
        <v>6.56</v>
      </c>
      <c r="U42" s="1">
        <v>22.08</v>
      </c>
      <c r="V42" s="1">
        <v>13.71</v>
      </c>
      <c r="W42" s="1">
        <v>7.62</v>
      </c>
      <c r="X42" s="1">
        <v>14.35</v>
      </c>
      <c r="Y42" s="1">
        <v>90.77</v>
      </c>
      <c r="Z42" s="1">
        <v>10.82</v>
      </c>
      <c r="AA42" s="1">
        <v>2.19</v>
      </c>
      <c r="AB42" s="1">
        <v>68.02</v>
      </c>
      <c r="AC42" s="1">
        <v>10.43</v>
      </c>
      <c r="AD42" s="1">
        <v>0</v>
      </c>
      <c r="AE42" s="1">
        <v>42.02</v>
      </c>
      <c r="AF42" s="1">
        <v>4</v>
      </c>
      <c r="AG42" s="1">
        <v>9</v>
      </c>
      <c r="AH42" s="1">
        <v>0.06</v>
      </c>
      <c r="AI42" s="1">
        <v>6.2</v>
      </c>
      <c r="AJ42" s="1">
        <v>8.06</v>
      </c>
      <c r="AK42" s="1">
        <v>89.5</v>
      </c>
      <c r="AL42" s="1">
        <v>1.3</v>
      </c>
      <c r="AM42" s="1">
        <v>1.26</v>
      </c>
      <c r="AN42" s="1">
        <v>1.33</v>
      </c>
      <c r="AO42" s="1">
        <v>2</v>
      </c>
      <c r="AP42" s="1">
        <v>0</v>
      </c>
      <c r="AQ42" s="1">
        <v>3</v>
      </c>
      <c r="AR42" s="1">
        <v>2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3</v>
      </c>
      <c r="AY42" s="1">
        <v>0.08</v>
      </c>
      <c r="AZ42" s="1">
        <v>1.6</v>
      </c>
      <c r="BA42" s="1">
        <v>0.7</v>
      </c>
      <c r="BB42" s="1">
        <v>0.87</v>
      </c>
      <c r="BC42" s="1">
        <v>1.39</v>
      </c>
      <c r="BD42" s="1">
        <v>-28.39</v>
      </c>
      <c r="BE42" s="1">
        <v>8.32</v>
      </c>
      <c r="BF42" s="1">
        <v>0.23</v>
      </c>
      <c r="BG42" s="1">
        <v>7.17</v>
      </c>
      <c r="BH42" s="1">
        <v>0.26</v>
      </c>
      <c r="BI42" s="1">
        <v>0</v>
      </c>
      <c r="BJ42" s="1">
        <v>-1.06</v>
      </c>
      <c r="BK42" s="1">
        <v>1</v>
      </c>
      <c r="BL42" s="1">
        <v>0</v>
      </c>
      <c r="BM42" s="1">
        <v>0.72</v>
      </c>
      <c r="BN42" s="1">
        <v>0.05</v>
      </c>
      <c r="BO42" s="1">
        <v>-0.16</v>
      </c>
      <c r="BP42" s="1">
        <v>0.5</v>
      </c>
      <c r="BQ42" s="1">
        <v>6.1</v>
      </c>
      <c r="BR42" s="1">
        <v>7.32</v>
      </c>
    </row>
    <row r="43" spans="1:70" x14ac:dyDescent="0.55000000000000004">
      <c r="A43" s="1">
        <v>12876</v>
      </c>
      <c r="B43" s="1">
        <v>47.846899999999998</v>
      </c>
      <c r="C43" s="1">
        <v>-4.2443</v>
      </c>
      <c r="D43" s="1" t="s">
        <v>71</v>
      </c>
      <c r="E43" s="1" t="s">
        <v>72</v>
      </c>
      <c r="F43" s="1">
        <v>6</v>
      </c>
      <c r="G43" s="1">
        <v>15.95</v>
      </c>
      <c r="H43" s="1">
        <v>12.75</v>
      </c>
      <c r="I43" s="1">
        <v>19.14</v>
      </c>
      <c r="J43" s="1">
        <v>2</v>
      </c>
      <c r="K43" s="1">
        <v>0</v>
      </c>
      <c r="L43" s="1">
        <v>3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6.4</v>
      </c>
      <c r="U43" s="1">
        <v>22.96</v>
      </c>
      <c r="V43" s="1">
        <v>15.96</v>
      </c>
      <c r="W43" s="1">
        <v>10.5</v>
      </c>
      <c r="X43" s="1">
        <v>14.85</v>
      </c>
      <c r="Y43" s="1">
        <v>50.24</v>
      </c>
      <c r="Z43" s="1">
        <v>11.45</v>
      </c>
      <c r="AA43" s="1">
        <v>1.94</v>
      </c>
      <c r="AB43" s="1">
        <v>58.35</v>
      </c>
      <c r="AC43" s="1">
        <v>8.23</v>
      </c>
      <c r="AD43" s="1">
        <v>0</v>
      </c>
      <c r="AE43" s="1">
        <v>43.78</v>
      </c>
      <c r="AF43" s="1">
        <v>3</v>
      </c>
      <c r="AG43" s="1">
        <v>9</v>
      </c>
      <c r="AH43" s="1">
        <v>0.13</v>
      </c>
      <c r="AI43" s="1">
        <v>6.64</v>
      </c>
      <c r="AJ43" s="1">
        <v>9.43</v>
      </c>
      <c r="AK43" s="1">
        <v>88.56</v>
      </c>
      <c r="AL43" s="1">
        <v>0.49</v>
      </c>
      <c r="AM43" s="1">
        <v>0.56999999999999995</v>
      </c>
      <c r="AN43" s="1">
        <v>0.41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-0.15</v>
      </c>
      <c r="AZ43" s="1">
        <v>-0.17</v>
      </c>
      <c r="BA43" s="1">
        <v>0.53</v>
      </c>
      <c r="BB43" s="1">
        <v>0.66</v>
      </c>
      <c r="BC43" s="1">
        <v>0.31</v>
      </c>
      <c r="BD43" s="1">
        <v>-10.82</v>
      </c>
      <c r="BE43" s="1">
        <v>2.21</v>
      </c>
      <c r="BF43" s="1">
        <v>0.22</v>
      </c>
      <c r="BG43" s="1">
        <v>6.75</v>
      </c>
      <c r="BH43" s="1">
        <v>-7.0000000000000007E-2</v>
      </c>
      <c r="BI43" s="1">
        <v>0</v>
      </c>
      <c r="BJ43" s="1">
        <v>2.02</v>
      </c>
      <c r="BK43" s="1">
        <v>0</v>
      </c>
      <c r="BL43" s="1">
        <v>0</v>
      </c>
      <c r="BM43" s="1">
        <v>1.01</v>
      </c>
      <c r="BN43" s="1">
        <v>0.06</v>
      </c>
      <c r="BO43" s="1">
        <v>-0.8</v>
      </c>
      <c r="BP43" s="1">
        <v>0.31</v>
      </c>
      <c r="BQ43" s="1">
        <v>0.42</v>
      </c>
      <c r="BR43" s="1">
        <v>0.47</v>
      </c>
    </row>
    <row r="44" spans="1:70" x14ac:dyDescent="0.55000000000000004">
      <c r="A44" s="1">
        <v>12876</v>
      </c>
      <c r="B44" s="1">
        <v>47.846899999999998</v>
      </c>
      <c r="C44" s="1">
        <v>-4.2443</v>
      </c>
      <c r="D44" s="1" t="s">
        <v>71</v>
      </c>
      <c r="E44" s="1" t="s">
        <v>72</v>
      </c>
      <c r="F44" s="1">
        <v>7</v>
      </c>
      <c r="G44" s="1">
        <v>18.690000000000001</v>
      </c>
      <c r="H44" s="1">
        <v>15.4</v>
      </c>
      <c r="I44" s="1">
        <v>21.98</v>
      </c>
      <c r="J44" s="1">
        <v>4</v>
      </c>
      <c r="K44" s="1">
        <v>0.03</v>
      </c>
      <c r="L44" s="1">
        <v>3</v>
      </c>
      <c r="M44" s="1">
        <v>1</v>
      </c>
      <c r="N44" s="1">
        <v>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6.58</v>
      </c>
      <c r="U44" s="1">
        <v>25.7</v>
      </c>
      <c r="V44" s="1">
        <v>18.739999999999998</v>
      </c>
      <c r="W44" s="1">
        <v>13.09</v>
      </c>
      <c r="X44" s="1">
        <v>17.71</v>
      </c>
      <c r="Y44" s="1">
        <v>9.6999999999999993</v>
      </c>
      <c r="Z44" s="1">
        <v>41.66</v>
      </c>
      <c r="AA44" s="1">
        <v>2.17</v>
      </c>
      <c r="AB44" s="1">
        <v>67.34</v>
      </c>
      <c r="AC44" s="1">
        <v>8.27</v>
      </c>
      <c r="AD44" s="1">
        <v>0</v>
      </c>
      <c r="AE44" s="1">
        <v>59.07</v>
      </c>
      <c r="AF44" s="1">
        <v>3</v>
      </c>
      <c r="AG44" s="1">
        <v>10</v>
      </c>
      <c r="AH44" s="1">
        <v>0.1</v>
      </c>
      <c r="AI44" s="1">
        <v>7.57</v>
      </c>
      <c r="AJ44" s="1">
        <v>10.92</v>
      </c>
      <c r="AK44" s="1">
        <v>99.79</v>
      </c>
      <c r="AL44" s="1">
        <v>0.52</v>
      </c>
      <c r="AM44" s="1">
        <v>0.62</v>
      </c>
      <c r="AN44" s="1">
        <v>0.43</v>
      </c>
      <c r="AO44" s="1">
        <v>0</v>
      </c>
      <c r="AP44" s="1">
        <v>0</v>
      </c>
      <c r="AQ44" s="1">
        <v>1</v>
      </c>
      <c r="AR44" s="1">
        <v>1</v>
      </c>
      <c r="AS44" s="1">
        <v>1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-0.19</v>
      </c>
      <c r="AZ44" s="1">
        <v>0.28000000000000003</v>
      </c>
      <c r="BA44" s="1">
        <v>0.63</v>
      </c>
      <c r="BB44" s="1">
        <v>0.57999999999999996</v>
      </c>
      <c r="BC44" s="1">
        <v>0.86</v>
      </c>
      <c r="BD44" s="1">
        <v>-3.05</v>
      </c>
      <c r="BE44" s="1">
        <v>9.99</v>
      </c>
      <c r="BF44" s="1">
        <v>0.6</v>
      </c>
      <c r="BG44" s="1">
        <v>18.73</v>
      </c>
      <c r="BH44" s="1">
        <v>0.4</v>
      </c>
      <c r="BI44" s="1">
        <v>0</v>
      </c>
      <c r="BJ44" s="1">
        <v>9.58</v>
      </c>
      <c r="BK44" s="1">
        <v>1</v>
      </c>
      <c r="BL44" s="1">
        <v>-1</v>
      </c>
      <c r="BM44" s="1">
        <v>1.8</v>
      </c>
      <c r="BN44" s="1">
        <v>0.01</v>
      </c>
      <c r="BO44" s="1">
        <v>-0.06</v>
      </c>
      <c r="BP44" s="1">
        <v>0.45</v>
      </c>
      <c r="BQ44" s="1">
        <v>0.28999999999999998</v>
      </c>
      <c r="BR44" s="1">
        <v>0.28999999999999998</v>
      </c>
    </row>
    <row r="45" spans="1:70" x14ac:dyDescent="0.55000000000000004">
      <c r="A45" s="1">
        <v>12876</v>
      </c>
      <c r="B45" s="1">
        <v>47.846899999999998</v>
      </c>
      <c r="C45" s="1">
        <v>-4.2443</v>
      </c>
      <c r="D45" s="1" t="s">
        <v>71</v>
      </c>
      <c r="E45" s="1" t="s">
        <v>72</v>
      </c>
      <c r="F45" s="1">
        <v>8</v>
      </c>
      <c r="G45" s="1">
        <v>18.899999999999999</v>
      </c>
      <c r="H45" s="1">
        <v>15.65</v>
      </c>
      <c r="I45" s="1">
        <v>22.15</v>
      </c>
      <c r="J45" s="1">
        <v>4</v>
      </c>
      <c r="K45" s="1">
        <v>0.1</v>
      </c>
      <c r="L45" s="1">
        <v>2</v>
      </c>
      <c r="M45" s="1">
        <v>1</v>
      </c>
      <c r="N45" s="1">
        <v>1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6.5</v>
      </c>
      <c r="U45" s="1">
        <v>25.24</v>
      </c>
      <c r="V45" s="1">
        <v>19.32</v>
      </c>
      <c r="W45" s="1">
        <v>13.25</v>
      </c>
      <c r="X45" s="1">
        <v>17.68</v>
      </c>
      <c r="Y45" s="1">
        <v>4.67</v>
      </c>
      <c r="Z45" s="1">
        <v>40.94</v>
      </c>
      <c r="AA45" s="1">
        <v>1.46</v>
      </c>
      <c r="AB45" s="1">
        <v>45.13</v>
      </c>
      <c r="AC45" s="1">
        <v>7.37</v>
      </c>
      <c r="AD45" s="1">
        <v>0</v>
      </c>
      <c r="AE45" s="1">
        <v>43.96</v>
      </c>
      <c r="AF45" s="1">
        <v>2</v>
      </c>
      <c r="AG45" s="1">
        <v>11</v>
      </c>
      <c r="AH45" s="1">
        <v>0</v>
      </c>
      <c r="AI45" s="1">
        <v>5.95</v>
      </c>
      <c r="AJ45" s="1">
        <v>11.09</v>
      </c>
      <c r="AK45" s="1">
        <v>86.13</v>
      </c>
      <c r="AL45" s="1">
        <v>0.6</v>
      </c>
      <c r="AM45" s="1">
        <v>0.77</v>
      </c>
      <c r="AN45" s="1">
        <v>0.43</v>
      </c>
      <c r="AO45" s="1">
        <v>0</v>
      </c>
      <c r="AP45" s="1">
        <v>0.1</v>
      </c>
      <c r="AQ45" s="1">
        <v>0</v>
      </c>
      <c r="AR45" s="1">
        <v>1</v>
      </c>
      <c r="AS45" s="1">
        <v>1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-0.34</v>
      </c>
      <c r="AZ45" s="1">
        <v>0.28999999999999998</v>
      </c>
      <c r="BA45" s="1">
        <v>0.59</v>
      </c>
      <c r="BB45" s="1">
        <v>0.72</v>
      </c>
      <c r="BC45" s="1">
        <v>0.82</v>
      </c>
      <c r="BD45" s="1">
        <v>-4.84</v>
      </c>
      <c r="BE45" s="1">
        <v>9.7200000000000006</v>
      </c>
      <c r="BF45" s="1">
        <v>-7.0000000000000007E-2</v>
      </c>
      <c r="BG45" s="1">
        <v>-2.37</v>
      </c>
      <c r="BH45" s="1">
        <v>-0.63</v>
      </c>
      <c r="BI45" s="1">
        <v>0</v>
      </c>
      <c r="BJ45" s="1">
        <v>7.56</v>
      </c>
      <c r="BK45" s="1">
        <v>-1</v>
      </c>
      <c r="BL45" s="1">
        <v>-2</v>
      </c>
      <c r="BM45" s="1">
        <v>0.5</v>
      </c>
      <c r="BN45" s="1">
        <v>-0.09</v>
      </c>
      <c r="BO45" s="1">
        <v>0.86</v>
      </c>
      <c r="BP45" s="1">
        <v>0.4</v>
      </c>
      <c r="BQ45" s="1">
        <v>0.19</v>
      </c>
      <c r="BR45" s="1">
        <v>0.22</v>
      </c>
    </row>
    <row r="46" spans="1:70" x14ac:dyDescent="0.55000000000000004">
      <c r="A46" s="1">
        <v>12876</v>
      </c>
      <c r="B46" s="1">
        <v>47.846899999999998</v>
      </c>
      <c r="C46" s="1">
        <v>-4.2443</v>
      </c>
      <c r="D46" s="1" t="s">
        <v>71</v>
      </c>
      <c r="E46" s="1" t="s">
        <v>72</v>
      </c>
      <c r="F46" s="1">
        <v>9</v>
      </c>
      <c r="G46" s="1">
        <v>17.100000000000001</v>
      </c>
      <c r="H46" s="1">
        <v>13.59</v>
      </c>
      <c r="I46" s="1">
        <v>20.62</v>
      </c>
      <c r="J46" s="1">
        <v>2</v>
      </c>
      <c r="K46" s="1">
        <v>0</v>
      </c>
      <c r="L46" s="1">
        <v>3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7.04</v>
      </c>
      <c r="U46" s="1">
        <v>23.64</v>
      </c>
      <c r="V46" s="1">
        <v>17.649999999999999</v>
      </c>
      <c r="W46" s="1">
        <v>10.41</v>
      </c>
      <c r="X46" s="1">
        <v>16.28</v>
      </c>
      <c r="Y46" s="1">
        <v>25.28</v>
      </c>
      <c r="Z46" s="1">
        <v>16.04</v>
      </c>
      <c r="AA46" s="1">
        <v>2.0499999999999998</v>
      </c>
      <c r="AB46" s="1">
        <v>61.51</v>
      </c>
      <c r="AC46" s="1">
        <v>8.6</v>
      </c>
      <c r="AD46" s="1">
        <v>0</v>
      </c>
      <c r="AE46" s="1">
        <v>56.39</v>
      </c>
      <c r="AF46" s="1">
        <v>3</v>
      </c>
      <c r="AG46" s="1">
        <v>11</v>
      </c>
      <c r="AH46" s="1">
        <v>0.28999999999999998</v>
      </c>
      <c r="AI46" s="1">
        <v>6.76</v>
      </c>
      <c r="AJ46" s="1">
        <v>9.8000000000000007</v>
      </c>
      <c r="AK46" s="1">
        <v>64.84</v>
      </c>
      <c r="AL46" s="1">
        <v>0.92</v>
      </c>
      <c r="AM46" s="1">
        <v>0.82</v>
      </c>
      <c r="AN46" s="1">
        <v>1.03</v>
      </c>
      <c r="AO46" s="1">
        <v>0</v>
      </c>
      <c r="AP46" s="1">
        <v>0</v>
      </c>
      <c r="AQ46" s="1">
        <v>2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1</v>
      </c>
      <c r="AY46" s="1">
        <v>0.22</v>
      </c>
      <c r="AZ46" s="1">
        <v>0.81</v>
      </c>
      <c r="BA46" s="1">
        <v>1.03</v>
      </c>
      <c r="BB46" s="1">
        <v>0.66</v>
      </c>
      <c r="BC46" s="1">
        <v>1.1000000000000001</v>
      </c>
      <c r="BD46" s="1">
        <v>-16.57</v>
      </c>
      <c r="BE46" s="1">
        <v>6.33</v>
      </c>
      <c r="BF46" s="1">
        <v>-0.4</v>
      </c>
      <c r="BG46" s="1">
        <v>-12.01</v>
      </c>
      <c r="BH46" s="1">
        <v>-1.73</v>
      </c>
      <c r="BI46" s="1">
        <v>0</v>
      </c>
      <c r="BJ46" s="1">
        <v>5.62</v>
      </c>
      <c r="BK46" s="1">
        <v>-1</v>
      </c>
      <c r="BL46" s="1">
        <v>1</v>
      </c>
      <c r="BM46" s="1">
        <v>0.09</v>
      </c>
      <c r="BN46" s="1">
        <v>0.06</v>
      </c>
      <c r="BO46" s="1">
        <v>-0.36</v>
      </c>
      <c r="BP46" s="1">
        <v>0.41</v>
      </c>
      <c r="BQ46" s="1">
        <v>4.2300000000000004</v>
      </c>
      <c r="BR46" s="1">
        <v>6.98</v>
      </c>
    </row>
    <row r="47" spans="1:70" x14ac:dyDescent="0.55000000000000004">
      <c r="A47" s="1">
        <v>12876</v>
      </c>
      <c r="B47" s="1">
        <v>47.846899999999998</v>
      </c>
      <c r="C47" s="1">
        <v>-4.2443</v>
      </c>
      <c r="D47" s="1" t="s">
        <v>71</v>
      </c>
      <c r="E47" s="1" t="s">
        <v>72</v>
      </c>
      <c r="F47" s="1">
        <v>10</v>
      </c>
      <c r="G47" s="1">
        <v>13.87</v>
      </c>
      <c r="H47" s="1">
        <v>11.04</v>
      </c>
      <c r="I47" s="1">
        <v>16.71</v>
      </c>
      <c r="J47" s="1">
        <v>0</v>
      </c>
      <c r="K47" s="1">
        <v>0</v>
      </c>
      <c r="L47" s="1">
        <v>1</v>
      </c>
      <c r="M47" s="1">
        <v>2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5.66</v>
      </c>
      <c r="U47" s="1">
        <v>19.760000000000002</v>
      </c>
      <c r="V47" s="1">
        <v>13.5</v>
      </c>
      <c r="W47" s="1">
        <v>6.92</v>
      </c>
      <c r="X47" s="1">
        <v>14.33</v>
      </c>
      <c r="Y47" s="1">
        <v>101.39</v>
      </c>
      <c r="Z47" s="1">
        <v>1.87</v>
      </c>
      <c r="AA47" s="1">
        <v>3.69</v>
      </c>
      <c r="AB47" s="1">
        <v>114.33</v>
      </c>
      <c r="AC47" s="1">
        <v>14.13</v>
      </c>
      <c r="AD47" s="1">
        <v>0</v>
      </c>
      <c r="AE47" s="1">
        <v>56.14</v>
      </c>
      <c r="AF47" s="1">
        <v>5</v>
      </c>
      <c r="AG47" s="1">
        <v>7</v>
      </c>
      <c r="AH47" s="1">
        <v>0</v>
      </c>
      <c r="AI47" s="1">
        <v>7.66</v>
      </c>
      <c r="AJ47" s="1">
        <v>8.52</v>
      </c>
      <c r="AK47" s="1">
        <v>37.04</v>
      </c>
      <c r="AL47" s="1">
        <v>0.87</v>
      </c>
      <c r="AM47" s="1">
        <v>0.9</v>
      </c>
      <c r="AN47" s="1">
        <v>0.84</v>
      </c>
      <c r="AO47" s="1">
        <v>0</v>
      </c>
      <c r="AP47" s="1">
        <v>0</v>
      </c>
      <c r="AQ47" s="1">
        <v>1</v>
      </c>
      <c r="AR47" s="1">
        <v>2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-7.0000000000000007E-2</v>
      </c>
      <c r="AZ47" s="1">
        <v>0.99</v>
      </c>
      <c r="BA47" s="1">
        <v>0.74</v>
      </c>
      <c r="BB47" s="1">
        <v>0.69</v>
      </c>
      <c r="BC47" s="1">
        <v>0.99</v>
      </c>
      <c r="BD47" s="1">
        <v>-23.9</v>
      </c>
      <c r="BE47" s="1">
        <v>1.55</v>
      </c>
      <c r="BF47" s="1">
        <v>0.57999999999999996</v>
      </c>
      <c r="BG47" s="1">
        <v>17.88</v>
      </c>
      <c r="BH47" s="1">
        <v>1.1000000000000001</v>
      </c>
      <c r="BI47" s="1">
        <v>0</v>
      </c>
      <c r="BJ47" s="1">
        <v>-3.27</v>
      </c>
      <c r="BK47" s="1">
        <v>0</v>
      </c>
      <c r="BL47" s="1">
        <v>-1</v>
      </c>
      <c r="BM47" s="1">
        <v>0.61</v>
      </c>
      <c r="BN47" s="1">
        <v>0.16</v>
      </c>
      <c r="BO47" s="1">
        <v>-1.47</v>
      </c>
      <c r="BP47" s="1">
        <v>0.46</v>
      </c>
      <c r="BQ47" s="1">
        <v>1.94</v>
      </c>
      <c r="BR47" s="1">
        <v>5.53</v>
      </c>
    </row>
    <row r="48" spans="1:70" x14ac:dyDescent="0.55000000000000004">
      <c r="A48" s="1">
        <v>12876</v>
      </c>
      <c r="B48" s="1">
        <v>47.846899999999998</v>
      </c>
      <c r="C48" s="1">
        <v>-4.2443</v>
      </c>
      <c r="D48" s="1" t="s">
        <v>71</v>
      </c>
      <c r="E48" s="1" t="s">
        <v>72</v>
      </c>
      <c r="F48" s="1">
        <v>11</v>
      </c>
      <c r="G48" s="1">
        <v>10.53</v>
      </c>
      <c r="H48" s="1">
        <v>8.17</v>
      </c>
      <c r="I48" s="1">
        <v>12.89</v>
      </c>
      <c r="J48" s="1">
        <v>0</v>
      </c>
      <c r="K48" s="1">
        <v>0</v>
      </c>
      <c r="L48" s="1">
        <v>0</v>
      </c>
      <c r="M48" s="1">
        <v>3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4.72</v>
      </c>
      <c r="U48" s="1">
        <v>15.36</v>
      </c>
      <c r="V48" s="1">
        <v>9.6300000000000008</v>
      </c>
      <c r="W48" s="1">
        <v>3.83</v>
      </c>
      <c r="X48" s="1">
        <v>11.78</v>
      </c>
      <c r="Y48" s="1">
        <v>194.01</v>
      </c>
      <c r="Z48" s="1">
        <v>0</v>
      </c>
      <c r="AA48" s="1">
        <v>3.57</v>
      </c>
      <c r="AB48" s="1">
        <v>106.99</v>
      </c>
      <c r="AC48" s="1">
        <v>13.43</v>
      </c>
      <c r="AD48" s="1">
        <v>0</v>
      </c>
      <c r="AE48" s="1">
        <v>61.54</v>
      </c>
      <c r="AF48" s="1">
        <v>5</v>
      </c>
      <c r="AG48" s="1">
        <v>8</v>
      </c>
      <c r="AH48" s="1">
        <v>0.06</v>
      </c>
      <c r="AI48" s="1">
        <v>7.82</v>
      </c>
      <c r="AJ48" s="1">
        <v>7.09</v>
      </c>
      <c r="AK48" s="1">
        <v>19.43</v>
      </c>
      <c r="AL48" s="1">
        <v>0.89</v>
      </c>
      <c r="AM48" s="1">
        <v>1.04</v>
      </c>
      <c r="AN48" s="1">
        <v>0.74</v>
      </c>
      <c r="AO48" s="1">
        <v>0</v>
      </c>
      <c r="AP48" s="1">
        <v>0</v>
      </c>
      <c r="AQ48" s="1">
        <v>0</v>
      </c>
      <c r="AR48" s="1">
        <v>2</v>
      </c>
      <c r="AS48" s="1">
        <v>0</v>
      </c>
      <c r="AT48" s="1">
        <v>0</v>
      </c>
      <c r="AU48" s="1">
        <v>-2</v>
      </c>
      <c r="AV48" s="1">
        <v>0</v>
      </c>
      <c r="AW48" s="1">
        <v>0</v>
      </c>
      <c r="AX48" s="1">
        <v>0</v>
      </c>
      <c r="AY48" s="1">
        <v>-0.3</v>
      </c>
      <c r="AZ48" s="1">
        <v>0.18</v>
      </c>
      <c r="BA48" s="1">
        <v>1.5</v>
      </c>
      <c r="BB48" s="1">
        <v>1.43</v>
      </c>
      <c r="BC48" s="1">
        <v>0.86</v>
      </c>
      <c r="BD48" s="1">
        <v>-26.87</v>
      </c>
      <c r="BE48" s="1">
        <v>0</v>
      </c>
      <c r="BF48" s="1">
        <v>0.05</v>
      </c>
      <c r="BG48" s="1">
        <v>1.49</v>
      </c>
      <c r="BH48" s="1">
        <v>-0.4</v>
      </c>
      <c r="BI48" s="1">
        <v>0</v>
      </c>
      <c r="BJ48" s="1">
        <v>-1.24</v>
      </c>
      <c r="BK48" s="1">
        <v>0</v>
      </c>
      <c r="BL48" s="1">
        <v>1</v>
      </c>
      <c r="BM48" s="1">
        <v>0.54</v>
      </c>
      <c r="BN48" s="1">
        <v>0.08</v>
      </c>
      <c r="BO48" s="1">
        <v>-1.67</v>
      </c>
      <c r="BP48" s="1">
        <v>0.39</v>
      </c>
      <c r="BQ48" s="1">
        <v>0.85</v>
      </c>
      <c r="BR48" s="1">
        <v>4.5599999999999996</v>
      </c>
    </row>
    <row r="49" spans="1:70" x14ac:dyDescent="0.55000000000000004">
      <c r="A49" s="1">
        <v>12876</v>
      </c>
      <c r="B49" s="1">
        <v>47.846899999999998</v>
      </c>
      <c r="C49" s="1">
        <v>-4.2443</v>
      </c>
      <c r="D49" s="1" t="s">
        <v>71</v>
      </c>
      <c r="E49" s="1" t="s">
        <v>72</v>
      </c>
      <c r="F49" s="1">
        <v>12</v>
      </c>
      <c r="G49" s="1">
        <v>8.08</v>
      </c>
      <c r="H49" s="1">
        <v>6.13</v>
      </c>
      <c r="I49" s="1">
        <v>10.02</v>
      </c>
      <c r="J49" s="1">
        <v>0</v>
      </c>
      <c r="K49" s="1">
        <v>0</v>
      </c>
      <c r="L49" s="1">
        <v>0</v>
      </c>
      <c r="M49" s="1">
        <v>3</v>
      </c>
      <c r="N49" s="1">
        <v>0</v>
      </c>
      <c r="O49" s="1">
        <v>2</v>
      </c>
      <c r="P49" s="1">
        <v>3</v>
      </c>
      <c r="Q49" s="1">
        <v>0</v>
      </c>
      <c r="R49" s="1">
        <v>1</v>
      </c>
      <c r="S49" s="1">
        <v>0</v>
      </c>
      <c r="T49" s="1">
        <v>3.89</v>
      </c>
      <c r="U49" s="1">
        <v>12.77</v>
      </c>
      <c r="V49" s="1">
        <v>6.13</v>
      </c>
      <c r="W49" s="1">
        <v>1.33</v>
      </c>
      <c r="X49" s="1">
        <v>10.01</v>
      </c>
      <c r="Y49" s="1">
        <v>276.61</v>
      </c>
      <c r="Z49" s="1">
        <v>0</v>
      </c>
      <c r="AA49" s="1">
        <v>3.47</v>
      </c>
      <c r="AB49" s="1">
        <v>107.71</v>
      </c>
      <c r="AC49" s="1">
        <v>13.73</v>
      </c>
      <c r="AD49" s="1">
        <v>0</v>
      </c>
      <c r="AE49" s="1">
        <v>48.28</v>
      </c>
      <c r="AF49" s="1">
        <v>5</v>
      </c>
      <c r="AG49" s="1">
        <v>7</v>
      </c>
      <c r="AH49" s="1">
        <v>0.19</v>
      </c>
      <c r="AI49" s="1">
        <v>6.96</v>
      </c>
      <c r="AJ49" s="1">
        <v>6.05</v>
      </c>
      <c r="AK49" s="1">
        <v>15.44</v>
      </c>
      <c r="AL49" s="1">
        <v>0.25</v>
      </c>
      <c r="AM49" s="1">
        <v>0.26</v>
      </c>
      <c r="AN49" s="1">
        <v>0.23</v>
      </c>
      <c r="AO49" s="1">
        <v>0</v>
      </c>
      <c r="AP49" s="1">
        <v>0</v>
      </c>
      <c r="AQ49" s="1">
        <v>0</v>
      </c>
      <c r="AR49" s="1">
        <v>1</v>
      </c>
      <c r="AS49" s="1">
        <v>0</v>
      </c>
      <c r="AT49" s="1">
        <v>0</v>
      </c>
      <c r="AU49" s="1">
        <v>0</v>
      </c>
      <c r="AV49" s="1">
        <v>0</v>
      </c>
      <c r="AW49" s="1">
        <v>1</v>
      </c>
      <c r="AX49" s="1">
        <v>0</v>
      </c>
      <c r="AY49" s="1">
        <v>-0.03</v>
      </c>
      <c r="AZ49" s="1">
        <v>0.17</v>
      </c>
      <c r="BA49" s="1">
        <v>0.62</v>
      </c>
      <c r="BB49" s="1">
        <v>0.55000000000000004</v>
      </c>
      <c r="BC49" s="1">
        <v>7.0000000000000007E-2</v>
      </c>
      <c r="BD49" s="1">
        <v>-7.67</v>
      </c>
      <c r="BE49" s="1">
        <v>0</v>
      </c>
      <c r="BF49" s="1">
        <v>-0.39</v>
      </c>
      <c r="BG49" s="1">
        <v>-12.05</v>
      </c>
      <c r="BH49" s="1">
        <v>-1.7</v>
      </c>
      <c r="BI49" s="1">
        <v>0</v>
      </c>
      <c r="BJ49" s="1">
        <v>-8.1300000000000008</v>
      </c>
      <c r="BK49" s="1">
        <v>-1</v>
      </c>
      <c r="BL49" s="1">
        <v>1</v>
      </c>
      <c r="BM49" s="1">
        <v>-0.39</v>
      </c>
      <c r="BN49" s="1">
        <v>-0.28000000000000003</v>
      </c>
      <c r="BO49" s="1">
        <v>1.23</v>
      </c>
      <c r="BP49" s="1">
        <v>0.06</v>
      </c>
      <c r="BQ49" s="1">
        <v>0.17</v>
      </c>
      <c r="BR49" s="1">
        <v>1.1000000000000001</v>
      </c>
    </row>
    <row r="50" spans="1:70" x14ac:dyDescent="0.55000000000000004">
      <c r="A50" s="1">
        <v>12732</v>
      </c>
      <c r="B50" s="1">
        <v>47.769100000000002</v>
      </c>
      <c r="C50" s="1">
        <v>-4.3418000000000001</v>
      </c>
      <c r="D50" s="1" t="s">
        <v>71</v>
      </c>
      <c r="E50" s="1" t="s">
        <v>73</v>
      </c>
      <c r="F50" s="1">
        <v>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7.0000000000000007E-2</v>
      </c>
      <c r="AI50" s="1">
        <v>0</v>
      </c>
      <c r="AJ50" s="1">
        <v>0</v>
      </c>
      <c r="AK50" s="1">
        <v>19.14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0.41</v>
      </c>
      <c r="BR50" s="1">
        <v>2.17</v>
      </c>
    </row>
    <row r="51" spans="1:70" x14ac:dyDescent="0.55000000000000004">
      <c r="A51" s="1">
        <v>12732</v>
      </c>
      <c r="B51" s="1">
        <v>47.769100000000002</v>
      </c>
      <c r="C51" s="1">
        <v>-4.3418000000000001</v>
      </c>
      <c r="D51" s="1" t="s">
        <v>71</v>
      </c>
      <c r="E51" s="1" t="s">
        <v>73</v>
      </c>
      <c r="F51" s="1">
        <v>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0.03</v>
      </c>
      <c r="AI51" s="1">
        <v>0</v>
      </c>
      <c r="AJ51" s="1">
        <v>0</v>
      </c>
      <c r="AK51" s="1">
        <v>23.21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0.14000000000000001</v>
      </c>
      <c r="BR51" s="1">
        <v>0.63</v>
      </c>
    </row>
    <row r="52" spans="1:70" x14ac:dyDescent="0.55000000000000004">
      <c r="A52" s="1">
        <v>12732</v>
      </c>
      <c r="B52" s="1">
        <v>47.769100000000002</v>
      </c>
      <c r="C52" s="1">
        <v>-4.3418000000000001</v>
      </c>
      <c r="D52" s="1" t="s">
        <v>71</v>
      </c>
      <c r="E52" s="1" t="s">
        <v>73</v>
      </c>
      <c r="F52" s="1">
        <v>3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7.0000000000000007E-2</v>
      </c>
      <c r="AI52" s="1">
        <v>0</v>
      </c>
      <c r="AJ52" s="1">
        <v>0</v>
      </c>
      <c r="AK52" s="1">
        <v>42.19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2.87</v>
      </c>
      <c r="BR52" s="1">
        <v>7.3</v>
      </c>
    </row>
    <row r="53" spans="1:70" x14ac:dyDescent="0.55000000000000004">
      <c r="A53" s="1">
        <v>12732</v>
      </c>
      <c r="B53" s="1">
        <v>47.769100000000002</v>
      </c>
      <c r="C53" s="1">
        <v>-4.3418000000000001</v>
      </c>
      <c r="D53" s="1" t="s">
        <v>71</v>
      </c>
      <c r="E53" s="1" t="s">
        <v>73</v>
      </c>
      <c r="F53" s="1">
        <v>4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7.0000000000000007E-2</v>
      </c>
      <c r="AI53" s="1">
        <v>0</v>
      </c>
      <c r="AJ53" s="1">
        <v>0</v>
      </c>
      <c r="AK53" s="1">
        <v>61.56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4.6100000000000003</v>
      </c>
      <c r="BR53" s="1">
        <v>8.1</v>
      </c>
    </row>
    <row r="54" spans="1:70" x14ac:dyDescent="0.55000000000000004">
      <c r="A54" s="1">
        <v>12732</v>
      </c>
      <c r="B54" s="1">
        <v>47.769100000000002</v>
      </c>
      <c r="C54" s="1">
        <v>-4.3418000000000001</v>
      </c>
      <c r="D54" s="1" t="s">
        <v>71</v>
      </c>
      <c r="E54" s="1" t="s">
        <v>73</v>
      </c>
      <c r="F54" s="1">
        <v>5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0.03</v>
      </c>
      <c r="AI54" s="1">
        <v>0</v>
      </c>
      <c r="AJ54" s="1">
        <v>0</v>
      </c>
      <c r="AK54" s="1">
        <v>88.19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7.26</v>
      </c>
      <c r="BR54" s="1">
        <v>8.9700000000000006</v>
      </c>
    </row>
    <row r="55" spans="1:70" x14ac:dyDescent="0.55000000000000004">
      <c r="A55" s="1">
        <v>12732</v>
      </c>
      <c r="B55" s="1">
        <v>47.769100000000002</v>
      </c>
      <c r="C55" s="1">
        <v>-4.3418000000000001</v>
      </c>
      <c r="D55" s="1" t="s">
        <v>71</v>
      </c>
      <c r="E55" s="1" t="s">
        <v>73</v>
      </c>
      <c r="F55" s="1">
        <v>6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0.13</v>
      </c>
      <c r="AI55" s="1">
        <v>0</v>
      </c>
      <c r="AJ55" s="1">
        <v>0</v>
      </c>
      <c r="AK55" s="1">
        <v>88.91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5.88</v>
      </c>
      <c r="BR55" s="1">
        <v>7.08</v>
      </c>
    </row>
    <row r="56" spans="1:70" x14ac:dyDescent="0.55000000000000004">
      <c r="A56" s="1">
        <v>12732</v>
      </c>
      <c r="B56" s="1">
        <v>47.769100000000002</v>
      </c>
      <c r="C56" s="1">
        <v>-4.3418000000000001</v>
      </c>
      <c r="D56" s="1" t="s">
        <v>71</v>
      </c>
      <c r="E56" s="1" t="s">
        <v>73</v>
      </c>
      <c r="F56" s="1">
        <v>7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0.17</v>
      </c>
      <c r="AI56" s="1">
        <v>0</v>
      </c>
      <c r="AJ56" s="1">
        <v>0</v>
      </c>
      <c r="AK56" s="1">
        <v>97.65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4.3</v>
      </c>
      <c r="BR56" s="1">
        <v>4.5999999999999996</v>
      </c>
    </row>
    <row r="57" spans="1:70" x14ac:dyDescent="0.55000000000000004">
      <c r="A57" s="1">
        <v>12732</v>
      </c>
      <c r="B57" s="1">
        <v>47.769100000000002</v>
      </c>
      <c r="C57" s="1">
        <v>-4.3418000000000001</v>
      </c>
      <c r="D57" s="1" t="s">
        <v>71</v>
      </c>
      <c r="E57" s="1" t="s">
        <v>73</v>
      </c>
      <c r="F57" s="1">
        <v>8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7.0000000000000007E-2</v>
      </c>
      <c r="AI57" s="1">
        <v>0</v>
      </c>
      <c r="AJ57" s="1">
        <v>0</v>
      </c>
      <c r="AK57" s="1">
        <v>83.87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3.42</v>
      </c>
      <c r="BR57" s="1">
        <v>4.25</v>
      </c>
    </row>
    <row r="58" spans="1:70" x14ac:dyDescent="0.55000000000000004">
      <c r="A58" s="1">
        <v>12732</v>
      </c>
      <c r="B58" s="1">
        <v>47.769100000000002</v>
      </c>
      <c r="C58" s="1">
        <v>-4.3418000000000001</v>
      </c>
      <c r="D58" s="1" t="s">
        <v>71</v>
      </c>
      <c r="E58" s="1" t="s">
        <v>73</v>
      </c>
      <c r="F58" s="1">
        <v>9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0.23</v>
      </c>
      <c r="AI58" s="1">
        <v>0</v>
      </c>
      <c r="AJ58" s="1">
        <v>0</v>
      </c>
      <c r="AK58" s="1">
        <v>67.06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8.67</v>
      </c>
      <c r="BR58" s="1">
        <v>14.85</v>
      </c>
    </row>
    <row r="59" spans="1:70" x14ac:dyDescent="0.55000000000000004">
      <c r="A59" s="1">
        <v>12732</v>
      </c>
      <c r="B59" s="1">
        <v>47.769100000000002</v>
      </c>
      <c r="C59" s="1">
        <v>-4.3418000000000001</v>
      </c>
      <c r="D59" s="1" t="s">
        <v>71</v>
      </c>
      <c r="E59" s="1" t="s">
        <v>73</v>
      </c>
      <c r="F59" s="1">
        <v>10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0.13</v>
      </c>
      <c r="AI59" s="1">
        <v>0</v>
      </c>
      <c r="AJ59" s="1">
        <v>0</v>
      </c>
      <c r="AK59" s="1">
        <v>36.340000000000003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1.46</v>
      </c>
      <c r="BR59" s="1">
        <v>4.1900000000000004</v>
      </c>
    </row>
    <row r="60" spans="1:70" x14ac:dyDescent="0.55000000000000004">
      <c r="A60" s="1">
        <v>12732</v>
      </c>
      <c r="B60" s="1">
        <v>47.769100000000002</v>
      </c>
      <c r="C60" s="1">
        <v>-4.3418000000000001</v>
      </c>
      <c r="D60" s="1" t="s">
        <v>71</v>
      </c>
      <c r="E60" s="1" t="s">
        <v>73</v>
      </c>
      <c r="F60" s="1">
        <v>11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0.1</v>
      </c>
      <c r="AI60" s="1">
        <v>0</v>
      </c>
      <c r="AJ60" s="1">
        <v>0</v>
      </c>
      <c r="AK60" s="1">
        <v>20.67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0.94</v>
      </c>
      <c r="BR60" s="1">
        <v>4.75</v>
      </c>
    </row>
    <row r="61" spans="1:70" x14ac:dyDescent="0.55000000000000004">
      <c r="A61" s="1">
        <v>12732</v>
      </c>
      <c r="B61" s="1">
        <v>47.769100000000002</v>
      </c>
      <c r="C61" s="1">
        <v>-4.3418000000000001</v>
      </c>
      <c r="D61" s="1" t="s">
        <v>71</v>
      </c>
      <c r="E61" s="1" t="s">
        <v>73</v>
      </c>
      <c r="F61" s="1">
        <v>12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0.13</v>
      </c>
      <c r="AI61" s="1">
        <v>0</v>
      </c>
      <c r="AJ61" s="1">
        <v>0</v>
      </c>
      <c r="AK61" s="1">
        <v>17.309999999999999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0.31</v>
      </c>
      <c r="BR61" s="1">
        <v>1.82</v>
      </c>
    </row>
    <row r="62" spans="1:70" x14ac:dyDescent="0.55000000000000004">
      <c r="A62" s="1">
        <v>12733</v>
      </c>
      <c r="B62" s="1">
        <v>47.775199999999998</v>
      </c>
      <c r="C62" s="1">
        <v>-4.2354000000000003</v>
      </c>
      <c r="D62" s="1" t="s">
        <v>71</v>
      </c>
      <c r="E62" s="1" t="s">
        <v>73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7.0000000000000007E-2</v>
      </c>
      <c r="AI62" s="1">
        <v>0</v>
      </c>
      <c r="AJ62" s="1">
        <v>0</v>
      </c>
      <c r="AK62" s="1">
        <v>17.559999999999999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0.66</v>
      </c>
      <c r="BR62" s="1">
        <v>3.92</v>
      </c>
    </row>
    <row r="63" spans="1:70" x14ac:dyDescent="0.55000000000000004">
      <c r="A63" s="1">
        <v>12733</v>
      </c>
      <c r="B63" s="1">
        <v>47.775199999999998</v>
      </c>
      <c r="C63" s="1">
        <v>-4.2354000000000003</v>
      </c>
      <c r="D63" s="1" t="s">
        <v>71</v>
      </c>
      <c r="E63" s="1" t="s">
        <v>73</v>
      </c>
      <c r="F63" s="1">
        <v>2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0.03</v>
      </c>
      <c r="AI63" s="1">
        <v>0</v>
      </c>
      <c r="AJ63" s="1">
        <v>0</v>
      </c>
      <c r="AK63" s="1">
        <v>22.09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0.36</v>
      </c>
      <c r="BR63" s="1">
        <v>1.64</v>
      </c>
    </row>
    <row r="64" spans="1:70" x14ac:dyDescent="0.55000000000000004">
      <c r="A64" s="1">
        <v>12733</v>
      </c>
      <c r="B64" s="1">
        <v>47.775199999999998</v>
      </c>
      <c r="C64" s="1">
        <v>-4.2354000000000003</v>
      </c>
      <c r="D64" s="1" t="s">
        <v>71</v>
      </c>
      <c r="E64" s="1" t="s">
        <v>73</v>
      </c>
      <c r="F64" s="1">
        <v>3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7.0000000000000007E-2</v>
      </c>
      <c r="AI64" s="1">
        <v>0</v>
      </c>
      <c r="AJ64" s="1">
        <v>0</v>
      </c>
      <c r="AK64" s="1">
        <v>43.2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3.01</v>
      </c>
      <c r="BR64" s="1">
        <v>7.5</v>
      </c>
    </row>
    <row r="65" spans="1:70" x14ac:dyDescent="0.55000000000000004">
      <c r="A65" s="1">
        <v>12733</v>
      </c>
      <c r="B65" s="1">
        <v>47.775199999999998</v>
      </c>
      <c r="C65" s="1">
        <v>-4.2354000000000003</v>
      </c>
      <c r="D65" s="1" t="s">
        <v>71</v>
      </c>
      <c r="E65" s="1" t="s">
        <v>73</v>
      </c>
      <c r="F65" s="1">
        <v>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7.0000000000000007E-2</v>
      </c>
      <c r="AI65" s="1">
        <v>0</v>
      </c>
      <c r="AJ65" s="1">
        <v>0</v>
      </c>
      <c r="AK65" s="1">
        <v>63.8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4.82</v>
      </c>
      <c r="BR65" s="1">
        <v>8.18</v>
      </c>
    </row>
    <row r="66" spans="1:70" x14ac:dyDescent="0.55000000000000004">
      <c r="A66" s="1">
        <v>12733</v>
      </c>
      <c r="B66" s="1">
        <v>47.775199999999998</v>
      </c>
      <c r="C66" s="1">
        <v>-4.2354000000000003</v>
      </c>
      <c r="D66" s="1" t="s">
        <v>71</v>
      </c>
      <c r="E66" s="1" t="s">
        <v>73</v>
      </c>
      <c r="F66" s="1">
        <v>5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0.03</v>
      </c>
      <c r="AI66" s="1">
        <v>0</v>
      </c>
      <c r="AJ66" s="1">
        <v>0</v>
      </c>
      <c r="AK66" s="1">
        <v>91.1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7.16</v>
      </c>
      <c r="BR66" s="1">
        <v>8.5299999999999994</v>
      </c>
    </row>
    <row r="67" spans="1:70" x14ac:dyDescent="0.55000000000000004">
      <c r="A67" s="1">
        <v>12733</v>
      </c>
      <c r="B67" s="1">
        <v>47.775199999999998</v>
      </c>
      <c r="C67" s="1">
        <v>-4.2354000000000003</v>
      </c>
      <c r="D67" s="1" t="s">
        <v>71</v>
      </c>
      <c r="E67" s="1" t="s">
        <v>73</v>
      </c>
      <c r="F67" s="1">
        <v>6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0.13</v>
      </c>
      <c r="AI67" s="1">
        <v>0</v>
      </c>
      <c r="AJ67" s="1">
        <v>0</v>
      </c>
      <c r="AK67" s="1">
        <v>95.47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6.72</v>
      </c>
      <c r="BR67" s="1">
        <v>7.57</v>
      </c>
    </row>
    <row r="68" spans="1:70" x14ac:dyDescent="0.55000000000000004">
      <c r="A68" s="1">
        <v>12733</v>
      </c>
      <c r="B68" s="1">
        <v>47.775199999999998</v>
      </c>
      <c r="C68" s="1">
        <v>-4.2354000000000003</v>
      </c>
      <c r="D68" s="1" t="s">
        <v>71</v>
      </c>
      <c r="E68" s="1" t="s">
        <v>73</v>
      </c>
      <c r="F68" s="1">
        <v>7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0.17</v>
      </c>
      <c r="AI68" s="1">
        <v>0</v>
      </c>
      <c r="AJ68" s="1">
        <v>0</v>
      </c>
      <c r="AK68" s="1">
        <v>104.99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4.99</v>
      </c>
      <c r="BR68" s="1">
        <v>4.99</v>
      </c>
    </row>
    <row r="69" spans="1:70" x14ac:dyDescent="0.55000000000000004">
      <c r="A69" s="1">
        <v>12733</v>
      </c>
      <c r="B69" s="1">
        <v>47.775199999999998</v>
      </c>
      <c r="C69" s="1">
        <v>-4.2354000000000003</v>
      </c>
      <c r="D69" s="1" t="s">
        <v>71</v>
      </c>
      <c r="E69" s="1" t="s">
        <v>73</v>
      </c>
      <c r="F69" s="1">
        <v>8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7.0000000000000007E-2</v>
      </c>
      <c r="AI69" s="1">
        <v>0</v>
      </c>
      <c r="AJ69" s="1">
        <v>0</v>
      </c>
      <c r="AK69" s="1">
        <v>90.42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4.07</v>
      </c>
      <c r="BR69" s="1">
        <v>4.71</v>
      </c>
    </row>
    <row r="70" spans="1:70" x14ac:dyDescent="0.55000000000000004">
      <c r="A70" s="1">
        <v>12733</v>
      </c>
      <c r="B70" s="1">
        <v>47.775199999999998</v>
      </c>
      <c r="C70" s="1">
        <v>-4.2354000000000003</v>
      </c>
      <c r="D70" s="1" t="s">
        <v>71</v>
      </c>
      <c r="E70" s="1" t="s">
        <v>73</v>
      </c>
      <c r="F70" s="1">
        <v>9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0.23</v>
      </c>
      <c r="AI70" s="1">
        <v>0</v>
      </c>
      <c r="AJ70" s="1">
        <v>0</v>
      </c>
      <c r="AK70" s="1">
        <v>69.97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8.9499999999999993</v>
      </c>
      <c r="BR70" s="1">
        <v>14.66</v>
      </c>
    </row>
    <row r="71" spans="1:70" x14ac:dyDescent="0.55000000000000004">
      <c r="A71" s="1">
        <v>12733</v>
      </c>
      <c r="B71" s="1">
        <v>47.775199999999998</v>
      </c>
      <c r="C71" s="1">
        <v>-4.2354000000000003</v>
      </c>
      <c r="D71" s="1" t="s">
        <v>71</v>
      </c>
      <c r="E71" s="1" t="s">
        <v>73</v>
      </c>
      <c r="F71" s="1">
        <v>10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0.13</v>
      </c>
      <c r="AI71" s="1">
        <v>0</v>
      </c>
      <c r="AJ71" s="1">
        <v>0</v>
      </c>
      <c r="AK71" s="1">
        <v>37.520000000000003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2.2200000000000002</v>
      </c>
      <c r="BR71" s="1">
        <v>6.3</v>
      </c>
    </row>
    <row r="72" spans="1:70" x14ac:dyDescent="0.55000000000000004">
      <c r="A72" s="1">
        <v>12733</v>
      </c>
      <c r="B72" s="1">
        <v>47.775199999999998</v>
      </c>
      <c r="C72" s="1">
        <v>-4.2354000000000003</v>
      </c>
      <c r="D72" s="1" t="s">
        <v>71</v>
      </c>
      <c r="E72" s="1" t="s">
        <v>73</v>
      </c>
      <c r="F72" s="1">
        <v>11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7.0000000000000007E-2</v>
      </c>
      <c r="AI72" s="1">
        <v>0</v>
      </c>
      <c r="AJ72" s="1">
        <v>0</v>
      </c>
      <c r="AK72" s="1">
        <v>20.14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1.51</v>
      </c>
      <c r="BR72" s="1">
        <v>8.1199999999999992</v>
      </c>
    </row>
    <row r="73" spans="1:70" x14ac:dyDescent="0.55000000000000004">
      <c r="A73" s="1">
        <v>12733</v>
      </c>
      <c r="B73" s="1">
        <v>47.775199999999998</v>
      </c>
      <c r="C73" s="1">
        <v>-4.2354000000000003</v>
      </c>
      <c r="D73" s="1" t="s">
        <v>71</v>
      </c>
      <c r="E73" s="1" t="s">
        <v>73</v>
      </c>
      <c r="F73" s="1">
        <v>12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0.1</v>
      </c>
      <c r="AI73" s="1">
        <v>0</v>
      </c>
      <c r="AJ73" s="1">
        <v>0</v>
      </c>
      <c r="AK73" s="1">
        <v>15.78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0.46</v>
      </c>
      <c r="BR73" s="1">
        <v>3.01</v>
      </c>
    </row>
    <row r="74" spans="1:70" x14ac:dyDescent="0.55000000000000004">
      <c r="A74" s="1">
        <v>12875</v>
      </c>
      <c r="B74" s="1">
        <v>47.840800000000002</v>
      </c>
      <c r="C74" s="1">
        <v>-4.3507999999999996</v>
      </c>
      <c r="D74" s="1" t="s">
        <v>71</v>
      </c>
      <c r="E74" s="1" t="s">
        <v>73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7.0000000000000007E-2</v>
      </c>
      <c r="AI74" s="1">
        <v>0</v>
      </c>
      <c r="AJ74" s="1">
        <v>0</v>
      </c>
      <c r="AK74" s="1">
        <v>19.12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0.4</v>
      </c>
      <c r="BR74" s="1">
        <v>2.12</v>
      </c>
    </row>
    <row r="75" spans="1:70" x14ac:dyDescent="0.55000000000000004">
      <c r="A75" s="1">
        <v>12875</v>
      </c>
      <c r="B75" s="1">
        <v>47.840800000000002</v>
      </c>
      <c r="C75" s="1">
        <v>-4.3507999999999996</v>
      </c>
      <c r="D75" s="1" t="s">
        <v>71</v>
      </c>
      <c r="E75" s="1" t="s">
        <v>73</v>
      </c>
      <c r="F75" s="1">
        <v>2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0.03</v>
      </c>
      <c r="AI75" s="1">
        <v>0</v>
      </c>
      <c r="AJ75" s="1">
        <v>0</v>
      </c>
      <c r="AK75" s="1">
        <v>23.16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0.14000000000000001</v>
      </c>
      <c r="BR75" s="1">
        <v>0.61</v>
      </c>
    </row>
    <row r="76" spans="1:70" x14ac:dyDescent="0.55000000000000004">
      <c r="A76" s="1">
        <v>12875</v>
      </c>
      <c r="B76" s="1">
        <v>47.840800000000002</v>
      </c>
      <c r="C76" s="1">
        <v>-4.3507999999999996</v>
      </c>
      <c r="D76" s="1" t="s">
        <v>71</v>
      </c>
      <c r="E76" s="1" t="s">
        <v>73</v>
      </c>
      <c r="F76" s="1">
        <v>3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7.0000000000000007E-2</v>
      </c>
      <c r="AI76" s="1">
        <v>0</v>
      </c>
      <c r="AJ76" s="1">
        <v>0</v>
      </c>
      <c r="AK76" s="1">
        <v>42.09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2.89</v>
      </c>
      <c r="BR76" s="1">
        <v>7.38</v>
      </c>
    </row>
    <row r="77" spans="1:70" x14ac:dyDescent="0.55000000000000004">
      <c r="A77" s="1">
        <v>12875</v>
      </c>
      <c r="B77" s="1">
        <v>47.840800000000002</v>
      </c>
      <c r="C77" s="1">
        <v>-4.3507999999999996</v>
      </c>
      <c r="D77" s="1" t="s">
        <v>71</v>
      </c>
      <c r="E77" s="1" t="s">
        <v>73</v>
      </c>
      <c r="F77" s="1">
        <v>4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7.0000000000000007E-2</v>
      </c>
      <c r="AI77" s="1">
        <v>0</v>
      </c>
      <c r="AJ77" s="1">
        <v>0</v>
      </c>
      <c r="AK77" s="1">
        <v>61.36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4.62</v>
      </c>
      <c r="BR77" s="1">
        <v>8.15</v>
      </c>
    </row>
    <row r="78" spans="1:70" x14ac:dyDescent="0.55000000000000004">
      <c r="A78" s="1">
        <v>12875</v>
      </c>
      <c r="B78" s="1">
        <v>47.840800000000002</v>
      </c>
      <c r="C78" s="1">
        <v>-4.3507999999999996</v>
      </c>
      <c r="D78" s="1" t="s">
        <v>71</v>
      </c>
      <c r="E78" s="1" t="s">
        <v>73</v>
      </c>
      <c r="F78" s="1">
        <v>5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0.03</v>
      </c>
      <c r="AI78" s="1">
        <v>0</v>
      </c>
      <c r="AJ78" s="1">
        <v>0</v>
      </c>
      <c r="AK78" s="1">
        <v>87.96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7.28</v>
      </c>
      <c r="BR78" s="1">
        <v>9.02</v>
      </c>
    </row>
    <row r="79" spans="1:70" x14ac:dyDescent="0.55000000000000004">
      <c r="A79" s="1">
        <v>12875</v>
      </c>
      <c r="B79" s="1">
        <v>47.840800000000002</v>
      </c>
      <c r="C79" s="1">
        <v>-4.3507999999999996</v>
      </c>
      <c r="D79" s="1" t="s">
        <v>71</v>
      </c>
      <c r="E79" s="1" t="s">
        <v>73</v>
      </c>
      <c r="F79" s="1">
        <v>6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0.13</v>
      </c>
      <c r="AI79" s="1">
        <v>0</v>
      </c>
      <c r="AJ79" s="1">
        <v>0</v>
      </c>
      <c r="AK79" s="1">
        <v>88.64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5.9</v>
      </c>
      <c r="BR79" s="1">
        <v>7.13</v>
      </c>
    </row>
    <row r="80" spans="1:70" x14ac:dyDescent="0.55000000000000004">
      <c r="A80" s="1">
        <v>12875</v>
      </c>
      <c r="B80" s="1">
        <v>47.840800000000002</v>
      </c>
      <c r="C80" s="1">
        <v>-4.3507999999999996</v>
      </c>
      <c r="D80" s="1" t="s">
        <v>71</v>
      </c>
      <c r="E80" s="1" t="s">
        <v>73</v>
      </c>
      <c r="F80" s="1">
        <v>7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0.17</v>
      </c>
      <c r="AI80" s="1">
        <v>0</v>
      </c>
      <c r="AJ80" s="1">
        <v>0</v>
      </c>
      <c r="AK80" s="1">
        <v>97.46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4.34</v>
      </c>
      <c r="BR80" s="1">
        <v>4.66</v>
      </c>
    </row>
    <row r="81" spans="1:70" x14ac:dyDescent="0.55000000000000004">
      <c r="A81" s="1">
        <v>12875</v>
      </c>
      <c r="B81" s="1">
        <v>47.840800000000002</v>
      </c>
      <c r="C81" s="1">
        <v>-4.3507999999999996</v>
      </c>
      <c r="D81" s="1" t="s">
        <v>71</v>
      </c>
      <c r="E81" s="1" t="s">
        <v>73</v>
      </c>
      <c r="F81" s="1">
        <v>8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7.0000000000000007E-2</v>
      </c>
      <c r="AI81" s="1">
        <v>0</v>
      </c>
      <c r="AJ81" s="1">
        <v>0</v>
      </c>
      <c r="AK81" s="1">
        <v>83.78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3.52</v>
      </c>
      <c r="BR81" s="1">
        <v>4.3899999999999997</v>
      </c>
    </row>
    <row r="82" spans="1:70" x14ac:dyDescent="0.55000000000000004">
      <c r="A82" s="1">
        <v>12875</v>
      </c>
      <c r="B82" s="1">
        <v>47.840800000000002</v>
      </c>
      <c r="C82" s="1">
        <v>-4.3507999999999996</v>
      </c>
      <c r="D82" s="1" t="s">
        <v>71</v>
      </c>
      <c r="E82" s="1" t="s">
        <v>73</v>
      </c>
      <c r="F82" s="1">
        <v>9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0.23</v>
      </c>
      <c r="AI82" s="1">
        <v>0</v>
      </c>
      <c r="AJ82" s="1">
        <v>0</v>
      </c>
      <c r="AK82" s="1">
        <v>66.83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8.64</v>
      </c>
      <c r="BR82" s="1">
        <v>14.85</v>
      </c>
    </row>
    <row r="83" spans="1:70" x14ac:dyDescent="0.55000000000000004">
      <c r="A83" s="1">
        <v>12875</v>
      </c>
      <c r="B83" s="1">
        <v>47.840800000000002</v>
      </c>
      <c r="C83" s="1">
        <v>-4.3507999999999996</v>
      </c>
      <c r="D83" s="1" t="s">
        <v>71</v>
      </c>
      <c r="E83" s="1" t="s">
        <v>73</v>
      </c>
      <c r="F83" s="1">
        <v>10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0.13</v>
      </c>
      <c r="AI83" s="1">
        <v>0</v>
      </c>
      <c r="AJ83" s="1">
        <v>0</v>
      </c>
      <c r="AK83" s="1">
        <v>36.24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1.45</v>
      </c>
      <c r="BR83" s="1">
        <v>4.16</v>
      </c>
    </row>
    <row r="84" spans="1:70" x14ac:dyDescent="0.55000000000000004">
      <c r="A84" s="1">
        <v>12875</v>
      </c>
      <c r="B84" s="1">
        <v>47.840800000000002</v>
      </c>
      <c r="C84" s="1">
        <v>-4.3507999999999996</v>
      </c>
      <c r="D84" s="1" t="s">
        <v>71</v>
      </c>
      <c r="E84" s="1" t="s">
        <v>73</v>
      </c>
      <c r="F84" s="1">
        <v>11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0.1</v>
      </c>
      <c r="AI84" s="1">
        <v>0</v>
      </c>
      <c r="AJ84" s="1">
        <v>0</v>
      </c>
      <c r="AK84" s="1">
        <v>20.65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0.92</v>
      </c>
      <c r="BR84" s="1">
        <v>4.67</v>
      </c>
    </row>
    <row r="85" spans="1:70" x14ac:dyDescent="0.55000000000000004">
      <c r="A85" s="1">
        <v>12875</v>
      </c>
      <c r="B85" s="1">
        <v>47.840800000000002</v>
      </c>
      <c r="C85" s="1">
        <v>-4.3507999999999996</v>
      </c>
      <c r="D85" s="1" t="s">
        <v>71</v>
      </c>
      <c r="E85" s="1" t="s">
        <v>73</v>
      </c>
      <c r="F85" s="1">
        <v>12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0.13</v>
      </c>
      <c r="AI85" s="1">
        <v>0</v>
      </c>
      <c r="AJ85" s="1">
        <v>0</v>
      </c>
      <c r="AK85" s="1">
        <v>17.309999999999999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0.32</v>
      </c>
      <c r="BR85" s="1">
        <v>1.88</v>
      </c>
    </row>
    <row r="86" spans="1:70" x14ac:dyDescent="0.55000000000000004">
      <c r="A86" s="1">
        <v>12876</v>
      </c>
      <c r="B86" s="1">
        <v>47.846899999999998</v>
      </c>
      <c r="C86" s="1">
        <v>-4.2443</v>
      </c>
      <c r="D86" s="1" t="s">
        <v>71</v>
      </c>
      <c r="E86" s="1" t="s">
        <v>73</v>
      </c>
      <c r="F86" s="1">
        <v>1</v>
      </c>
      <c r="G86" s="1">
        <v>8.01</v>
      </c>
      <c r="H86" s="1">
        <v>5.95</v>
      </c>
      <c r="I86" s="1">
        <v>10.07</v>
      </c>
      <c r="J86" s="1">
        <v>0</v>
      </c>
      <c r="K86" s="1">
        <v>0</v>
      </c>
      <c r="L86" s="1">
        <v>1</v>
      </c>
      <c r="M86" s="1">
        <v>5</v>
      </c>
      <c r="N86" s="1">
        <v>0</v>
      </c>
      <c r="O86" s="1">
        <v>2</v>
      </c>
      <c r="P86" s="1">
        <v>1</v>
      </c>
      <c r="Q86" s="1">
        <v>0</v>
      </c>
      <c r="R86" s="1">
        <v>0</v>
      </c>
      <c r="S86" s="1">
        <v>0</v>
      </c>
      <c r="T86" s="1">
        <v>4.12</v>
      </c>
      <c r="U86" s="1">
        <v>12.85</v>
      </c>
      <c r="V86" s="1">
        <v>6.05</v>
      </c>
      <c r="W86" s="1">
        <v>0.64</v>
      </c>
      <c r="X86" s="1">
        <v>10.18</v>
      </c>
      <c r="Y86" s="1">
        <v>278.68</v>
      </c>
      <c r="Z86" s="1">
        <v>0</v>
      </c>
      <c r="AA86" s="1">
        <v>3.8</v>
      </c>
      <c r="AB86" s="1">
        <v>117.93</v>
      </c>
      <c r="AC86" s="1">
        <v>15.07</v>
      </c>
      <c r="AD86" s="1">
        <v>0</v>
      </c>
      <c r="AE86" s="1">
        <v>59.57</v>
      </c>
      <c r="AF86" s="1">
        <v>6</v>
      </c>
      <c r="AG86" s="1">
        <v>7</v>
      </c>
      <c r="AH86" s="1">
        <v>7.0000000000000007E-2</v>
      </c>
      <c r="AI86" s="1">
        <v>7.45</v>
      </c>
      <c r="AJ86" s="1">
        <v>5.98</v>
      </c>
      <c r="AK86" s="1">
        <v>17.48</v>
      </c>
      <c r="AL86" s="1">
        <v>1.33</v>
      </c>
      <c r="AM86" s="1">
        <v>1.37</v>
      </c>
      <c r="AN86" s="1">
        <v>1.3</v>
      </c>
      <c r="AO86" s="1">
        <v>0</v>
      </c>
      <c r="AP86" s="1">
        <v>0</v>
      </c>
      <c r="AQ86" s="1">
        <v>1</v>
      </c>
      <c r="AR86" s="1">
        <v>3</v>
      </c>
      <c r="AS86" s="1">
        <v>0</v>
      </c>
      <c r="AT86" s="1">
        <v>-2</v>
      </c>
      <c r="AU86" s="1">
        <v>-2</v>
      </c>
      <c r="AV86" s="1">
        <v>0</v>
      </c>
      <c r="AW86" s="1">
        <v>0</v>
      </c>
      <c r="AX86" s="1">
        <v>0</v>
      </c>
      <c r="AY86" s="1">
        <v>-7.0000000000000007E-2</v>
      </c>
      <c r="AZ86" s="1">
        <v>0.96</v>
      </c>
      <c r="BA86" s="1">
        <v>1.51</v>
      </c>
      <c r="BB86" s="1">
        <v>0.77</v>
      </c>
      <c r="BC86" s="1">
        <v>1.41</v>
      </c>
      <c r="BD86" s="1">
        <v>-41.38</v>
      </c>
      <c r="BE86" s="1">
        <v>0</v>
      </c>
      <c r="BF86" s="1">
        <v>0.19</v>
      </c>
      <c r="BG86" s="1">
        <v>5.91</v>
      </c>
      <c r="BH86" s="1">
        <v>0.1</v>
      </c>
      <c r="BI86" s="1">
        <v>0</v>
      </c>
      <c r="BJ86" s="1">
        <v>1.02</v>
      </c>
      <c r="BK86" s="1">
        <v>1</v>
      </c>
      <c r="BL86" s="1">
        <v>0</v>
      </c>
      <c r="BM86" s="1">
        <v>0.41</v>
      </c>
      <c r="BN86" s="1">
        <v>-0.18</v>
      </c>
      <c r="BO86" s="1">
        <v>0.56999999999999995</v>
      </c>
      <c r="BP86" s="1">
        <v>0.5</v>
      </c>
      <c r="BQ86" s="1">
        <v>0.61</v>
      </c>
      <c r="BR86" s="1">
        <v>3.63</v>
      </c>
    </row>
    <row r="87" spans="1:70" x14ac:dyDescent="0.55000000000000004">
      <c r="A87" s="1">
        <v>12876</v>
      </c>
      <c r="B87" s="1">
        <v>47.846899999999998</v>
      </c>
      <c r="C87" s="1">
        <v>-4.2443</v>
      </c>
      <c r="D87" s="1" t="s">
        <v>71</v>
      </c>
      <c r="E87" s="1" t="s">
        <v>73</v>
      </c>
      <c r="F87" s="1">
        <v>2</v>
      </c>
      <c r="G87" s="1">
        <v>7.98</v>
      </c>
      <c r="H87" s="1">
        <v>5.62</v>
      </c>
      <c r="I87" s="1">
        <v>10.35</v>
      </c>
      <c r="J87" s="1">
        <v>0</v>
      </c>
      <c r="K87" s="1">
        <v>0</v>
      </c>
      <c r="L87" s="1">
        <v>1</v>
      </c>
      <c r="M87" s="1">
        <v>4</v>
      </c>
      <c r="N87" s="1">
        <v>0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4.7300000000000004</v>
      </c>
      <c r="U87" s="1">
        <v>12.59</v>
      </c>
      <c r="V87" s="1">
        <v>7.27</v>
      </c>
      <c r="W87" s="1">
        <v>1.18</v>
      </c>
      <c r="X87" s="1">
        <v>9.2200000000000006</v>
      </c>
      <c r="Y87" s="1">
        <v>254.49</v>
      </c>
      <c r="Z87" s="1">
        <v>0</v>
      </c>
      <c r="AA87" s="1">
        <v>3.63</v>
      </c>
      <c r="AB87" s="1">
        <v>102.45</v>
      </c>
      <c r="AC87" s="1">
        <v>13.03</v>
      </c>
      <c r="AD87" s="1">
        <v>0</v>
      </c>
      <c r="AE87" s="1">
        <v>57.7</v>
      </c>
      <c r="AF87" s="1">
        <v>5</v>
      </c>
      <c r="AG87" s="1">
        <v>7</v>
      </c>
      <c r="AH87" s="1">
        <v>0.03</v>
      </c>
      <c r="AI87" s="1">
        <v>7.64</v>
      </c>
      <c r="AJ87" s="1">
        <v>5.91</v>
      </c>
      <c r="AK87" s="1">
        <v>21.99</v>
      </c>
      <c r="AL87" s="1">
        <v>1.31</v>
      </c>
      <c r="AM87" s="1">
        <v>1.37</v>
      </c>
      <c r="AN87" s="1">
        <v>1.26</v>
      </c>
      <c r="AO87" s="1">
        <v>0</v>
      </c>
      <c r="AP87" s="1">
        <v>0</v>
      </c>
      <c r="AQ87" s="1">
        <v>1</v>
      </c>
      <c r="AR87" s="1">
        <v>2</v>
      </c>
      <c r="AS87" s="1">
        <v>0</v>
      </c>
      <c r="AT87" s="1">
        <v>-2</v>
      </c>
      <c r="AU87" s="1">
        <v>-1</v>
      </c>
      <c r="AV87" s="1">
        <v>0</v>
      </c>
      <c r="AW87" s="1">
        <v>0</v>
      </c>
      <c r="AX87" s="1">
        <v>0</v>
      </c>
      <c r="AY87" s="1">
        <v>-0.11</v>
      </c>
      <c r="AZ87" s="1">
        <v>1.04</v>
      </c>
      <c r="BA87" s="1">
        <v>1.63</v>
      </c>
      <c r="BB87" s="1">
        <v>1.0900000000000001</v>
      </c>
      <c r="BC87" s="1">
        <v>1.17</v>
      </c>
      <c r="BD87" s="1">
        <v>-37.51</v>
      </c>
      <c r="BE87" s="1">
        <v>0</v>
      </c>
      <c r="BF87" s="1">
        <v>0.92</v>
      </c>
      <c r="BG87" s="1">
        <v>25.81</v>
      </c>
      <c r="BH87" s="1">
        <v>2.16</v>
      </c>
      <c r="BI87" s="1">
        <v>0</v>
      </c>
      <c r="BJ87" s="1">
        <v>1.84</v>
      </c>
      <c r="BK87" s="1">
        <v>1</v>
      </c>
      <c r="BL87" s="1">
        <v>-2</v>
      </c>
      <c r="BM87" s="1">
        <v>0.99</v>
      </c>
      <c r="BN87" s="1">
        <v>-0.05</v>
      </c>
      <c r="BO87" s="1">
        <v>-0.63</v>
      </c>
      <c r="BP87" s="1">
        <v>0.56000000000000005</v>
      </c>
      <c r="BQ87" s="1">
        <v>0.35</v>
      </c>
      <c r="BR87" s="1">
        <v>1.61</v>
      </c>
    </row>
    <row r="88" spans="1:70" x14ac:dyDescent="0.55000000000000004">
      <c r="A88" s="1">
        <v>12876</v>
      </c>
      <c r="B88" s="1">
        <v>47.846899999999998</v>
      </c>
      <c r="C88" s="1">
        <v>-4.2443</v>
      </c>
      <c r="D88" s="1" t="s">
        <v>71</v>
      </c>
      <c r="E88" s="1" t="s">
        <v>73</v>
      </c>
      <c r="F88" s="1">
        <v>3</v>
      </c>
      <c r="G88" s="1">
        <v>10.48</v>
      </c>
      <c r="H88" s="1">
        <v>7.67</v>
      </c>
      <c r="I88" s="1">
        <v>13.28</v>
      </c>
      <c r="J88" s="1">
        <v>0</v>
      </c>
      <c r="K88" s="1">
        <v>0</v>
      </c>
      <c r="L88" s="1">
        <v>3</v>
      </c>
      <c r="M88" s="1">
        <v>5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5.62</v>
      </c>
      <c r="U88" s="1">
        <v>16.760000000000002</v>
      </c>
      <c r="V88" s="1">
        <v>9.91</v>
      </c>
      <c r="W88" s="1">
        <v>3.81</v>
      </c>
      <c r="X88" s="1">
        <v>10.9</v>
      </c>
      <c r="Y88" s="1">
        <v>202.32</v>
      </c>
      <c r="Z88" s="1">
        <v>0</v>
      </c>
      <c r="AA88" s="1">
        <v>3.01</v>
      </c>
      <c r="AB88" s="1">
        <v>93.34</v>
      </c>
      <c r="AC88" s="1">
        <v>13.23</v>
      </c>
      <c r="AD88" s="1">
        <v>0</v>
      </c>
      <c r="AE88" s="1">
        <v>55.18</v>
      </c>
      <c r="AF88" s="1">
        <v>6</v>
      </c>
      <c r="AG88" s="1">
        <v>8</v>
      </c>
      <c r="AH88" s="1">
        <v>7.0000000000000007E-2</v>
      </c>
      <c r="AI88" s="1">
        <v>6.72</v>
      </c>
      <c r="AJ88" s="1">
        <v>6.68</v>
      </c>
      <c r="AK88" s="1">
        <v>43</v>
      </c>
      <c r="AL88" s="1">
        <v>1.74</v>
      </c>
      <c r="AM88" s="1">
        <v>1.71</v>
      </c>
      <c r="AN88" s="1">
        <v>1.77</v>
      </c>
      <c r="AO88" s="1">
        <v>0</v>
      </c>
      <c r="AP88" s="1">
        <v>0</v>
      </c>
      <c r="AQ88" s="1">
        <v>2</v>
      </c>
      <c r="AR88" s="1">
        <v>4</v>
      </c>
      <c r="AS88" s="1">
        <v>0</v>
      </c>
      <c r="AT88" s="1">
        <v>0</v>
      </c>
      <c r="AU88" s="1">
        <v>-1</v>
      </c>
      <c r="AV88" s="1">
        <v>0</v>
      </c>
      <c r="AW88" s="1">
        <v>0</v>
      </c>
      <c r="AX88" s="1">
        <v>0</v>
      </c>
      <c r="AY88" s="1">
        <v>7.0000000000000007E-2</v>
      </c>
      <c r="AZ88" s="1">
        <v>2.11</v>
      </c>
      <c r="BA88" s="1">
        <v>1.89</v>
      </c>
      <c r="BB88" s="1">
        <v>1.93</v>
      </c>
      <c r="BC88" s="1">
        <v>1.3</v>
      </c>
      <c r="BD88" s="1">
        <v>-53.89</v>
      </c>
      <c r="BE88" s="1">
        <v>0</v>
      </c>
      <c r="BF88" s="1">
        <v>0.39</v>
      </c>
      <c r="BG88" s="1">
        <v>12.16</v>
      </c>
      <c r="BH88" s="1">
        <v>0.13</v>
      </c>
      <c r="BI88" s="1">
        <v>0</v>
      </c>
      <c r="BJ88" s="1">
        <v>8.9600000000000009</v>
      </c>
      <c r="BK88" s="1">
        <v>1</v>
      </c>
      <c r="BL88" s="1">
        <v>-1</v>
      </c>
      <c r="BM88" s="1">
        <v>0.99</v>
      </c>
      <c r="BN88" s="1">
        <v>-0.2</v>
      </c>
      <c r="BO88" s="1">
        <v>1.37</v>
      </c>
      <c r="BP88" s="1">
        <v>0.7</v>
      </c>
      <c r="BQ88" s="1">
        <v>3.03</v>
      </c>
      <c r="BR88" s="1">
        <v>7.58</v>
      </c>
    </row>
    <row r="89" spans="1:70" x14ac:dyDescent="0.55000000000000004">
      <c r="A89" s="1">
        <v>12876</v>
      </c>
      <c r="B89" s="1">
        <v>47.846899999999998</v>
      </c>
      <c r="C89" s="1">
        <v>-4.2443</v>
      </c>
      <c r="D89" s="1" t="s">
        <v>71</v>
      </c>
      <c r="E89" s="1" t="s">
        <v>73</v>
      </c>
      <c r="F89" s="1">
        <v>4</v>
      </c>
      <c r="G89" s="1">
        <v>12.01</v>
      </c>
      <c r="H89" s="1">
        <v>9</v>
      </c>
      <c r="I89" s="1">
        <v>15.01</v>
      </c>
      <c r="J89" s="1">
        <v>0</v>
      </c>
      <c r="K89" s="1">
        <v>0</v>
      </c>
      <c r="L89" s="1">
        <v>4</v>
      </c>
      <c r="M89" s="1">
        <v>3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1</v>
      </c>
      <c r="T89" s="1">
        <v>6.01</v>
      </c>
      <c r="U89" s="1">
        <v>19.47</v>
      </c>
      <c r="V89" s="1">
        <v>11.3</v>
      </c>
      <c r="W89" s="1">
        <v>5.0599999999999996</v>
      </c>
      <c r="X89" s="1">
        <v>12.16</v>
      </c>
      <c r="Y89" s="1">
        <v>153.05000000000001</v>
      </c>
      <c r="Z89" s="1">
        <v>1.74</v>
      </c>
      <c r="AA89" s="1">
        <v>2.4</v>
      </c>
      <c r="AB89" s="1">
        <v>72.03</v>
      </c>
      <c r="AC89" s="1">
        <v>11.73</v>
      </c>
      <c r="AD89" s="1">
        <v>0</v>
      </c>
      <c r="AE89" s="1">
        <v>40.9</v>
      </c>
      <c r="AF89" s="1">
        <v>4</v>
      </c>
      <c r="AG89" s="1">
        <v>9</v>
      </c>
      <c r="AH89" s="1">
        <v>7.0000000000000007E-2</v>
      </c>
      <c r="AI89" s="1">
        <v>5.77</v>
      </c>
      <c r="AJ89" s="1">
        <v>7.07</v>
      </c>
      <c r="AK89" s="1">
        <v>63.39</v>
      </c>
      <c r="AL89" s="1">
        <v>1.69</v>
      </c>
      <c r="AM89" s="1">
        <v>1.82</v>
      </c>
      <c r="AN89" s="1">
        <v>1.55</v>
      </c>
      <c r="AO89" s="1">
        <v>0</v>
      </c>
      <c r="AP89" s="1">
        <v>0</v>
      </c>
      <c r="AQ89" s="1">
        <v>2</v>
      </c>
      <c r="AR89" s="1">
        <v>3</v>
      </c>
      <c r="AS89" s="1">
        <v>0</v>
      </c>
      <c r="AT89" s="1">
        <v>0</v>
      </c>
      <c r="AU89" s="1">
        <v>-1</v>
      </c>
      <c r="AV89" s="1">
        <v>0</v>
      </c>
      <c r="AW89" s="1">
        <v>0</v>
      </c>
      <c r="AX89" s="1">
        <v>1</v>
      </c>
      <c r="AY89" s="1">
        <v>-0.27</v>
      </c>
      <c r="AZ89" s="1">
        <v>2.23</v>
      </c>
      <c r="BA89" s="1">
        <v>1.36</v>
      </c>
      <c r="BB89" s="1">
        <v>1.85</v>
      </c>
      <c r="BC89" s="1">
        <v>1.59</v>
      </c>
      <c r="BD89" s="1">
        <v>-48.2</v>
      </c>
      <c r="BE89" s="1">
        <v>1.2</v>
      </c>
      <c r="BF89" s="1">
        <v>-0.14000000000000001</v>
      </c>
      <c r="BG89" s="1">
        <v>-4.24</v>
      </c>
      <c r="BH89" s="1">
        <v>-0.3</v>
      </c>
      <c r="BI89" s="1">
        <v>0</v>
      </c>
      <c r="BJ89" s="1">
        <v>-5.57</v>
      </c>
      <c r="BK89" s="1">
        <v>-1</v>
      </c>
      <c r="BL89" s="1">
        <v>1</v>
      </c>
      <c r="BM89" s="1">
        <v>-0.06</v>
      </c>
      <c r="BN89" s="1">
        <v>-0.02</v>
      </c>
      <c r="BO89" s="1">
        <v>-0.03</v>
      </c>
      <c r="BP89" s="1">
        <v>0.65</v>
      </c>
      <c r="BQ89" s="1">
        <v>4.8099999999999996</v>
      </c>
      <c r="BR89" s="1">
        <v>8.2100000000000009</v>
      </c>
    </row>
    <row r="90" spans="1:70" x14ac:dyDescent="0.55000000000000004">
      <c r="A90" s="1">
        <v>12876</v>
      </c>
      <c r="B90" s="1">
        <v>47.846899999999998</v>
      </c>
      <c r="C90" s="1">
        <v>-4.2443</v>
      </c>
      <c r="D90" s="1" t="s">
        <v>71</v>
      </c>
      <c r="E90" s="1" t="s">
        <v>73</v>
      </c>
      <c r="F90" s="1">
        <v>5</v>
      </c>
      <c r="G90" s="1">
        <v>14.99</v>
      </c>
      <c r="H90" s="1">
        <v>11.8</v>
      </c>
      <c r="I90" s="1">
        <v>18.18</v>
      </c>
      <c r="J90" s="1">
        <v>3</v>
      </c>
      <c r="K90" s="1">
        <v>7.0000000000000007E-2</v>
      </c>
      <c r="L90" s="1">
        <v>6</v>
      </c>
      <c r="M90" s="1">
        <v>3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3</v>
      </c>
      <c r="T90" s="1">
        <v>6.38</v>
      </c>
      <c r="U90" s="1">
        <v>22.55</v>
      </c>
      <c r="V90" s="1">
        <v>14.15</v>
      </c>
      <c r="W90" s="1">
        <v>8.24</v>
      </c>
      <c r="X90" s="1">
        <v>14.89</v>
      </c>
      <c r="Y90" s="1">
        <v>82.16</v>
      </c>
      <c r="Z90" s="1">
        <v>14.08</v>
      </c>
      <c r="AA90" s="1">
        <v>2.13</v>
      </c>
      <c r="AB90" s="1">
        <v>66.180000000000007</v>
      </c>
      <c r="AC90" s="1">
        <v>10.43</v>
      </c>
      <c r="AD90" s="1">
        <v>0</v>
      </c>
      <c r="AE90" s="1">
        <v>49.11</v>
      </c>
      <c r="AF90" s="1">
        <v>3</v>
      </c>
      <c r="AG90" s="1">
        <v>9</v>
      </c>
      <c r="AH90" s="1">
        <v>0.03</v>
      </c>
      <c r="AI90" s="1">
        <v>6.02</v>
      </c>
      <c r="AJ90" s="1">
        <v>8.27</v>
      </c>
      <c r="AK90" s="1">
        <v>90.54</v>
      </c>
      <c r="AL90" s="1">
        <v>1.68</v>
      </c>
      <c r="AM90" s="1">
        <v>1.73</v>
      </c>
      <c r="AN90" s="1">
        <v>1.63</v>
      </c>
      <c r="AO90" s="1">
        <v>2</v>
      </c>
      <c r="AP90" s="1">
        <v>7.0000000000000007E-2</v>
      </c>
      <c r="AQ90" s="1">
        <v>3</v>
      </c>
      <c r="AR90" s="1">
        <v>3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3</v>
      </c>
      <c r="AY90" s="1">
        <v>-0.1</v>
      </c>
      <c r="AZ90" s="1">
        <v>2.0699999999999998</v>
      </c>
      <c r="BA90" s="1">
        <v>1.1399999999999999</v>
      </c>
      <c r="BB90" s="1">
        <v>1.49</v>
      </c>
      <c r="BC90" s="1">
        <v>1.93</v>
      </c>
      <c r="BD90" s="1">
        <v>-37</v>
      </c>
      <c r="BE90" s="1">
        <v>11.58</v>
      </c>
      <c r="BF90" s="1">
        <v>0.17</v>
      </c>
      <c r="BG90" s="1">
        <v>5.33</v>
      </c>
      <c r="BH90" s="1">
        <v>0.26</v>
      </c>
      <c r="BI90" s="1">
        <v>0</v>
      </c>
      <c r="BJ90" s="1">
        <v>6.03</v>
      </c>
      <c r="BK90" s="1">
        <v>0</v>
      </c>
      <c r="BL90" s="1">
        <v>0</v>
      </c>
      <c r="BM90" s="1">
        <v>0.54</v>
      </c>
      <c r="BN90" s="1">
        <v>-0.09</v>
      </c>
      <c r="BO90" s="1">
        <v>0.37</v>
      </c>
      <c r="BP90" s="1">
        <v>0.71</v>
      </c>
      <c r="BQ90" s="1">
        <v>7.14</v>
      </c>
      <c r="BR90" s="1">
        <v>8.56</v>
      </c>
    </row>
    <row r="91" spans="1:70" x14ac:dyDescent="0.55000000000000004">
      <c r="A91" s="1">
        <v>12876</v>
      </c>
      <c r="B91" s="1">
        <v>47.846899999999998</v>
      </c>
      <c r="C91" s="1">
        <v>-4.2443</v>
      </c>
      <c r="D91" s="1" t="s">
        <v>71</v>
      </c>
      <c r="E91" s="1" t="s">
        <v>73</v>
      </c>
      <c r="F91" s="1">
        <v>6</v>
      </c>
      <c r="G91" s="1">
        <v>16.95</v>
      </c>
      <c r="H91" s="1">
        <v>13.61</v>
      </c>
      <c r="I91" s="1">
        <v>20.28</v>
      </c>
      <c r="J91" s="1">
        <v>2</v>
      </c>
      <c r="K91" s="1">
        <v>0</v>
      </c>
      <c r="L91" s="1">
        <v>4</v>
      </c>
      <c r="M91" s="1">
        <v>1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1</v>
      </c>
      <c r="T91" s="1">
        <v>6.67</v>
      </c>
      <c r="U91" s="1">
        <v>23.84</v>
      </c>
      <c r="V91" s="1">
        <v>16.55</v>
      </c>
      <c r="W91" s="1">
        <v>10.94</v>
      </c>
      <c r="X91" s="1">
        <v>15.92</v>
      </c>
      <c r="Y91" s="1">
        <v>32.520000000000003</v>
      </c>
      <c r="Z91" s="1">
        <v>19.899999999999999</v>
      </c>
      <c r="AA91" s="1">
        <v>1.44</v>
      </c>
      <c r="AB91" s="1">
        <v>43.25</v>
      </c>
      <c r="AC91" s="1">
        <v>6.7</v>
      </c>
      <c r="AD91" s="1">
        <v>0</v>
      </c>
      <c r="AE91" s="1">
        <v>44.66</v>
      </c>
      <c r="AF91" s="1">
        <v>2</v>
      </c>
      <c r="AG91" s="1">
        <v>11</v>
      </c>
      <c r="AH91" s="1">
        <v>0.13</v>
      </c>
      <c r="AI91" s="1">
        <v>7</v>
      </c>
      <c r="AJ91" s="1">
        <v>9.9</v>
      </c>
      <c r="AK91" s="1">
        <v>94.89</v>
      </c>
      <c r="AL91" s="1">
        <v>1.49</v>
      </c>
      <c r="AM91" s="1">
        <v>1.43</v>
      </c>
      <c r="AN91" s="1">
        <v>1.55</v>
      </c>
      <c r="AO91" s="1">
        <v>0</v>
      </c>
      <c r="AP91" s="1">
        <v>0</v>
      </c>
      <c r="AQ91" s="1">
        <v>1</v>
      </c>
      <c r="AR91" s="1">
        <v>1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1</v>
      </c>
      <c r="AY91" s="1">
        <v>0.12</v>
      </c>
      <c r="AZ91" s="1">
        <v>0.71</v>
      </c>
      <c r="BA91" s="1">
        <v>1.1200000000000001</v>
      </c>
      <c r="BB91" s="1">
        <v>1.1000000000000001</v>
      </c>
      <c r="BC91" s="1">
        <v>1.38</v>
      </c>
      <c r="BD91" s="1">
        <v>-28.54</v>
      </c>
      <c r="BE91" s="1">
        <v>10.66</v>
      </c>
      <c r="BF91" s="1">
        <v>-0.28000000000000003</v>
      </c>
      <c r="BG91" s="1">
        <v>-8.35</v>
      </c>
      <c r="BH91" s="1">
        <v>-1.6</v>
      </c>
      <c r="BI91" s="1">
        <v>0</v>
      </c>
      <c r="BJ91" s="1">
        <v>2.9</v>
      </c>
      <c r="BK91" s="1">
        <v>-1</v>
      </c>
      <c r="BL91" s="1">
        <v>2</v>
      </c>
      <c r="BM91" s="1">
        <v>1.37</v>
      </c>
      <c r="BN91" s="1">
        <v>-7.0000000000000007E-2</v>
      </c>
      <c r="BO91" s="1">
        <v>-0.37</v>
      </c>
      <c r="BP91" s="1">
        <v>0.78</v>
      </c>
      <c r="BQ91" s="1">
        <v>6.74</v>
      </c>
      <c r="BR91" s="1">
        <v>7.65</v>
      </c>
    </row>
    <row r="92" spans="1:70" x14ac:dyDescent="0.55000000000000004">
      <c r="A92" s="1">
        <v>12876</v>
      </c>
      <c r="B92" s="1">
        <v>47.846899999999998</v>
      </c>
      <c r="C92" s="1">
        <v>-4.2443</v>
      </c>
      <c r="D92" s="1" t="s">
        <v>71</v>
      </c>
      <c r="E92" s="1" t="s">
        <v>73</v>
      </c>
      <c r="F92" s="1">
        <v>7</v>
      </c>
      <c r="G92" s="1">
        <v>19.71</v>
      </c>
      <c r="H92" s="1">
        <v>16.41</v>
      </c>
      <c r="I92" s="1">
        <v>23.01</v>
      </c>
      <c r="J92" s="1">
        <v>6</v>
      </c>
      <c r="K92" s="1">
        <v>0.1</v>
      </c>
      <c r="L92" s="1">
        <v>3</v>
      </c>
      <c r="M92" s="1">
        <v>1</v>
      </c>
      <c r="N92" s="1">
        <v>1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6.59</v>
      </c>
      <c r="U92" s="1">
        <v>26.71</v>
      </c>
      <c r="V92" s="1">
        <v>20.03</v>
      </c>
      <c r="W92" s="1">
        <v>14.09</v>
      </c>
      <c r="X92" s="1">
        <v>18.73</v>
      </c>
      <c r="Y92" s="1">
        <v>2.09</v>
      </c>
      <c r="Z92" s="1">
        <v>60.22</v>
      </c>
      <c r="AA92" s="1">
        <v>1.75</v>
      </c>
      <c r="AB92" s="1">
        <v>54.15</v>
      </c>
      <c r="AC92" s="1">
        <v>7.17</v>
      </c>
      <c r="AD92" s="1">
        <v>0</v>
      </c>
      <c r="AE92" s="1">
        <v>49.52</v>
      </c>
      <c r="AF92" s="1">
        <v>3</v>
      </c>
      <c r="AG92" s="1">
        <v>12</v>
      </c>
      <c r="AH92" s="1">
        <v>0.17</v>
      </c>
      <c r="AI92" s="1">
        <v>7.28</v>
      </c>
      <c r="AJ92" s="1">
        <v>11.42</v>
      </c>
      <c r="AK92" s="1">
        <v>104.54</v>
      </c>
      <c r="AL92" s="1">
        <v>1.54</v>
      </c>
      <c r="AM92" s="1">
        <v>1.63</v>
      </c>
      <c r="AN92" s="1">
        <v>1.46</v>
      </c>
      <c r="AO92" s="1">
        <v>2</v>
      </c>
      <c r="AP92" s="1">
        <v>7.0000000000000007E-2</v>
      </c>
      <c r="AQ92" s="1">
        <v>1</v>
      </c>
      <c r="AR92" s="1">
        <v>1</v>
      </c>
      <c r="AS92" s="1">
        <v>1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-0.18</v>
      </c>
      <c r="AZ92" s="1">
        <v>1.29</v>
      </c>
      <c r="BA92" s="1">
        <v>1.92</v>
      </c>
      <c r="BB92" s="1">
        <v>1.58</v>
      </c>
      <c r="BC92" s="1">
        <v>1.88</v>
      </c>
      <c r="BD92" s="1">
        <v>-10.66</v>
      </c>
      <c r="BE92" s="1">
        <v>28.55</v>
      </c>
      <c r="BF92" s="1">
        <v>0.18</v>
      </c>
      <c r="BG92" s="1">
        <v>5.54</v>
      </c>
      <c r="BH92" s="1">
        <v>-0.7</v>
      </c>
      <c r="BI92" s="1">
        <v>0</v>
      </c>
      <c r="BJ92" s="1">
        <v>0.03</v>
      </c>
      <c r="BK92" s="1">
        <v>1</v>
      </c>
      <c r="BL92" s="1">
        <v>1</v>
      </c>
      <c r="BM92" s="1">
        <v>1.51</v>
      </c>
      <c r="BN92" s="1">
        <v>0</v>
      </c>
      <c r="BO92" s="1">
        <v>-0.13</v>
      </c>
      <c r="BP92" s="1">
        <v>0.95</v>
      </c>
      <c r="BQ92" s="1">
        <v>5.04</v>
      </c>
      <c r="BR92" s="1">
        <v>5.07</v>
      </c>
    </row>
    <row r="93" spans="1:70" x14ac:dyDescent="0.55000000000000004">
      <c r="A93" s="1">
        <v>12876</v>
      </c>
      <c r="B93" s="1">
        <v>47.846899999999998</v>
      </c>
      <c r="C93" s="1">
        <v>-4.2443</v>
      </c>
      <c r="D93" s="1" t="s">
        <v>71</v>
      </c>
      <c r="E93" s="1" t="s">
        <v>73</v>
      </c>
      <c r="F93" s="1">
        <v>8</v>
      </c>
      <c r="G93" s="1">
        <v>20.11</v>
      </c>
      <c r="H93" s="1">
        <v>16.899999999999999</v>
      </c>
      <c r="I93" s="1">
        <v>23.32</v>
      </c>
      <c r="J93" s="1">
        <v>6</v>
      </c>
      <c r="K93" s="1">
        <v>0.27</v>
      </c>
      <c r="L93" s="1">
        <v>3</v>
      </c>
      <c r="M93" s="1">
        <v>3</v>
      </c>
      <c r="N93" s="1">
        <v>3</v>
      </c>
      <c r="O93" s="1">
        <v>0</v>
      </c>
      <c r="P93" s="1">
        <v>0</v>
      </c>
      <c r="Q93" s="1">
        <v>0</v>
      </c>
      <c r="R93" s="1">
        <v>0</v>
      </c>
      <c r="S93" s="1">
        <v>1</v>
      </c>
      <c r="T93" s="1">
        <v>6.42</v>
      </c>
      <c r="U93" s="1">
        <v>26.63</v>
      </c>
      <c r="V93" s="1">
        <v>20.57</v>
      </c>
      <c r="W93" s="1">
        <v>14.3</v>
      </c>
      <c r="X93" s="1">
        <v>19.079999999999998</v>
      </c>
      <c r="Y93" s="1">
        <v>1.76</v>
      </c>
      <c r="Z93" s="1">
        <v>71.209999999999994</v>
      </c>
      <c r="AA93" s="1">
        <v>1.52</v>
      </c>
      <c r="AB93" s="1">
        <v>47.2</v>
      </c>
      <c r="AC93" s="1">
        <v>7.03</v>
      </c>
      <c r="AD93" s="1">
        <v>0</v>
      </c>
      <c r="AE93" s="1">
        <v>41.55</v>
      </c>
      <c r="AF93" s="1">
        <v>2</v>
      </c>
      <c r="AG93" s="1">
        <v>13</v>
      </c>
      <c r="AH93" s="1">
        <v>7.0000000000000007E-2</v>
      </c>
      <c r="AI93" s="1">
        <v>6.73</v>
      </c>
      <c r="AJ93" s="1">
        <v>11.82</v>
      </c>
      <c r="AK93" s="1">
        <v>90.12</v>
      </c>
      <c r="AL93" s="1">
        <v>1.81</v>
      </c>
      <c r="AM93" s="1">
        <v>2.02</v>
      </c>
      <c r="AN93" s="1">
        <v>1.6</v>
      </c>
      <c r="AO93" s="1">
        <v>2</v>
      </c>
      <c r="AP93" s="1">
        <v>0.27</v>
      </c>
      <c r="AQ93" s="1">
        <v>1</v>
      </c>
      <c r="AR93" s="1">
        <v>3</v>
      </c>
      <c r="AS93" s="1">
        <v>3</v>
      </c>
      <c r="AT93" s="1">
        <v>0</v>
      </c>
      <c r="AU93" s="1">
        <v>0</v>
      </c>
      <c r="AV93" s="1">
        <v>0</v>
      </c>
      <c r="AW93" s="1">
        <v>0</v>
      </c>
      <c r="AX93" s="1">
        <v>1</v>
      </c>
      <c r="AY93" s="1">
        <v>-0.42</v>
      </c>
      <c r="AZ93" s="1">
        <v>1.68</v>
      </c>
      <c r="BA93" s="1">
        <v>1.84</v>
      </c>
      <c r="BB93" s="1">
        <v>1.77</v>
      </c>
      <c r="BC93" s="1">
        <v>2.2200000000000002</v>
      </c>
      <c r="BD93" s="1">
        <v>-7.75</v>
      </c>
      <c r="BE93" s="1">
        <v>39.99</v>
      </c>
      <c r="BF93" s="1">
        <v>-0.01</v>
      </c>
      <c r="BG93" s="1">
        <v>-0.3</v>
      </c>
      <c r="BH93" s="1">
        <v>-0.97</v>
      </c>
      <c r="BI93" s="1">
        <v>0</v>
      </c>
      <c r="BJ93" s="1">
        <v>5.15</v>
      </c>
      <c r="BK93" s="1">
        <v>-1</v>
      </c>
      <c r="BL93" s="1">
        <v>0</v>
      </c>
      <c r="BM93" s="1">
        <v>1.28</v>
      </c>
      <c r="BN93" s="1">
        <v>-0.01</v>
      </c>
      <c r="BO93" s="1">
        <v>0.36</v>
      </c>
      <c r="BP93" s="1">
        <v>1.1299999999999999</v>
      </c>
      <c r="BQ93" s="1">
        <v>4.18</v>
      </c>
      <c r="BR93" s="1">
        <v>4.8600000000000003</v>
      </c>
    </row>
    <row r="94" spans="1:70" x14ac:dyDescent="0.55000000000000004">
      <c r="A94" s="1">
        <v>12876</v>
      </c>
      <c r="B94" s="1">
        <v>47.846899999999998</v>
      </c>
      <c r="C94" s="1">
        <v>-4.2443</v>
      </c>
      <c r="D94" s="1" t="s">
        <v>71</v>
      </c>
      <c r="E94" s="1" t="s">
        <v>73</v>
      </c>
      <c r="F94" s="1">
        <v>9</v>
      </c>
      <c r="G94" s="1">
        <v>18.260000000000002</v>
      </c>
      <c r="H94" s="1">
        <v>14.7</v>
      </c>
      <c r="I94" s="1">
        <v>21.81</v>
      </c>
      <c r="J94" s="1">
        <v>3</v>
      </c>
      <c r="K94" s="1">
        <v>0</v>
      </c>
      <c r="L94" s="1">
        <v>4</v>
      </c>
      <c r="M94" s="1">
        <v>3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1</v>
      </c>
      <c r="T94" s="1">
        <v>7.11</v>
      </c>
      <c r="U94" s="1">
        <v>24.65</v>
      </c>
      <c r="V94" s="1">
        <v>18.899999999999999</v>
      </c>
      <c r="W94" s="1">
        <v>11.67</v>
      </c>
      <c r="X94" s="1">
        <v>17.350000000000001</v>
      </c>
      <c r="Y94" s="1">
        <v>11.43</v>
      </c>
      <c r="Z94" s="1">
        <v>30.27</v>
      </c>
      <c r="AA94" s="1">
        <v>1.91</v>
      </c>
      <c r="AB94" s="1">
        <v>57.4</v>
      </c>
      <c r="AC94" s="1">
        <v>7.7</v>
      </c>
      <c r="AD94" s="1">
        <v>0</v>
      </c>
      <c r="AE94" s="1">
        <v>55.06</v>
      </c>
      <c r="AF94" s="1">
        <v>3</v>
      </c>
      <c r="AG94" s="1">
        <v>11</v>
      </c>
      <c r="AH94" s="1">
        <v>0.23</v>
      </c>
      <c r="AI94" s="1">
        <v>7.16</v>
      </c>
      <c r="AJ94" s="1">
        <v>10.38</v>
      </c>
      <c r="AK94" s="1">
        <v>69.58</v>
      </c>
      <c r="AL94" s="1">
        <v>2.08</v>
      </c>
      <c r="AM94" s="1">
        <v>1.93</v>
      </c>
      <c r="AN94" s="1">
        <v>2.2200000000000002</v>
      </c>
      <c r="AO94" s="1">
        <v>1</v>
      </c>
      <c r="AP94" s="1">
        <v>0</v>
      </c>
      <c r="AQ94" s="1">
        <v>3</v>
      </c>
      <c r="AR94" s="1">
        <v>3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1</v>
      </c>
      <c r="AY94" s="1">
        <v>0.28999999999999998</v>
      </c>
      <c r="AZ94" s="1">
        <v>1.82</v>
      </c>
      <c r="BA94" s="1">
        <v>2.2799999999999998</v>
      </c>
      <c r="BB94" s="1">
        <v>1.92</v>
      </c>
      <c r="BC94" s="1">
        <v>2.17</v>
      </c>
      <c r="BD94" s="1">
        <v>-30.42</v>
      </c>
      <c r="BE94" s="1">
        <v>20.56</v>
      </c>
      <c r="BF94" s="1">
        <v>-0.54</v>
      </c>
      <c r="BG94" s="1">
        <v>-16.12</v>
      </c>
      <c r="BH94" s="1">
        <v>-2.63</v>
      </c>
      <c r="BI94" s="1">
        <v>0</v>
      </c>
      <c r="BJ94" s="1">
        <v>4.29</v>
      </c>
      <c r="BK94" s="1">
        <v>-1</v>
      </c>
      <c r="BL94" s="1">
        <v>1</v>
      </c>
      <c r="BM94" s="1">
        <v>0.49</v>
      </c>
      <c r="BN94" s="1">
        <v>-0.03</v>
      </c>
      <c r="BO94" s="1">
        <v>-0.13</v>
      </c>
      <c r="BP94" s="1">
        <v>0.99</v>
      </c>
      <c r="BQ94" s="1">
        <v>8.98</v>
      </c>
      <c r="BR94" s="1">
        <v>14.81</v>
      </c>
    </row>
    <row r="95" spans="1:70" x14ac:dyDescent="0.55000000000000004">
      <c r="A95" s="1">
        <v>12876</v>
      </c>
      <c r="B95" s="1">
        <v>47.846899999999998</v>
      </c>
      <c r="C95" s="1">
        <v>-4.2443</v>
      </c>
      <c r="D95" s="1" t="s">
        <v>71</v>
      </c>
      <c r="E95" s="1" t="s">
        <v>73</v>
      </c>
      <c r="F95" s="1">
        <v>10</v>
      </c>
      <c r="G95" s="1">
        <v>14.77</v>
      </c>
      <c r="H95" s="1">
        <v>11.94</v>
      </c>
      <c r="I95" s="1">
        <v>17.61</v>
      </c>
      <c r="J95" s="1">
        <v>0</v>
      </c>
      <c r="K95" s="1">
        <v>0</v>
      </c>
      <c r="L95" s="1">
        <v>2</v>
      </c>
      <c r="M95" s="1">
        <v>3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5.67</v>
      </c>
      <c r="U95" s="1">
        <v>20.440000000000001</v>
      </c>
      <c r="V95" s="1">
        <v>14.61</v>
      </c>
      <c r="W95" s="1">
        <v>8.17</v>
      </c>
      <c r="X95" s="1">
        <v>14.97</v>
      </c>
      <c r="Y95" s="1">
        <v>75.62</v>
      </c>
      <c r="Z95" s="1">
        <v>2.87</v>
      </c>
      <c r="AA95" s="1">
        <v>3.56</v>
      </c>
      <c r="AB95" s="1">
        <v>110.24</v>
      </c>
      <c r="AC95" s="1">
        <v>13.27</v>
      </c>
      <c r="AD95" s="1">
        <v>1</v>
      </c>
      <c r="AE95" s="1">
        <v>60.31</v>
      </c>
      <c r="AF95" s="1">
        <v>5</v>
      </c>
      <c r="AG95" s="1">
        <v>8</v>
      </c>
      <c r="AH95" s="1">
        <v>0.13</v>
      </c>
      <c r="AI95" s="1">
        <v>7.94</v>
      </c>
      <c r="AJ95" s="1">
        <v>9.0399999999999991</v>
      </c>
      <c r="AK95" s="1">
        <v>37.299999999999997</v>
      </c>
      <c r="AL95" s="1">
        <v>1.77</v>
      </c>
      <c r="AM95" s="1">
        <v>1.8</v>
      </c>
      <c r="AN95" s="1">
        <v>1.74</v>
      </c>
      <c r="AO95" s="1">
        <v>0</v>
      </c>
      <c r="AP95" s="1">
        <v>0</v>
      </c>
      <c r="AQ95" s="1">
        <v>2</v>
      </c>
      <c r="AR95" s="1">
        <v>3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-0.06</v>
      </c>
      <c r="AZ95" s="1">
        <v>1.67</v>
      </c>
      <c r="BA95" s="1">
        <v>1.85</v>
      </c>
      <c r="BB95" s="1">
        <v>1.94</v>
      </c>
      <c r="BC95" s="1">
        <v>1.63</v>
      </c>
      <c r="BD95" s="1">
        <v>-49.67</v>
      </c>
      <c r="BE95" s="1">
        <v>2.5499999999999998</v>
      </c>
      <c r="BF95" s="1">
        <v>0.45</v>
      </c>
      <c r="BG95" s="1">
        <v>13.79</v>
      </c>
      <c r="BH95" s="1">
        <v>0.24</v>
      </c>
      <c r="BI95" s="1">
        <v>1</v>
      </c>
      <c r="BJ95" s="1">
        <v>0.9</v>
      </c>
      <c r="BK95" s="1">
        <v>0</v>
      </c>
      <c r="BL95" s="1">
        <v>0</v>
      </c>
      <c r="BM95" s="1">
        <v>0.89</v>
      </c>
      <c r="BN95" s="1">
        <v>0</v>
      </c>
      <c r="BO95" s="1">
        <v>0</v>
      </c>
      <c r="BP95" s="1">
        <v>0.98</v>
      </c>
      <c r="BQ95" s="1">
        <v>2.21</v>
      </c>
      <c r="BR95" s="1">
        <v>6.28</v>
      </c>
    </row>
    <row r="96" spans="1:70" x14ac:dyDescent="0.55000000000000004">
      <c r="A96" s="1">
        <v>12876</v>
      </c>
      <c r="B96" s="1">
        <v>47.846899999999998</v>
      </c>
      <c r="C96" s="1">
        <v>-4.2443</v>
      </c>
      <c r="D96" s="1" t="s">
        <v>71</v>
      </c>
      <c r="E96" s="1" t="s">
        <v>73</v>
      </c>
      <c r="F96" s="1">
        <v>11</v>
      </c>
      <c r="G96" s="1">
        <v>11.67</v>
      </c>
      <c r="H96" s="1">
        <v>9.27</v>
      </c>
      <c r="I96" s="1">
        <v>14.07</v>
      </c>
      <c r="J96" s="1">
        <v>0</v>
      </c>
      <c r="K96" s="1">
        <v>0</v>
      </c>
      <c r="L96" s="1">
        <v>3</v>
      </c>
      <c r="M96" s="1">
        <v>6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4.79</v>
      </c>
      <c r="U96" s="1">
        <v>16.66</v>
      </c>
      <c r="V96" s="1">
        <v>10.56</v>
      </c>
      <c r="W96" s="1">
        <v>4.6900000000000004</v>
      </c>
      <c r="X96" s="1">
        <v>12.87</v>
      </c>
      <c r="Y96" s="1">
        <v>160.06</v>
      </c>
      <c r="Z96" s="1">
        <v>0</v>
      </c>
      <c r="AA96" s="1">
        <v>3.65</v>
      </c>
      <c r="AB96" s="1">
        <v>109.43</v>
      </c>
      <c r="AC96" s="1">
        <v>13.43</v>
      </c>
      <c r="AD96" s="1">
        <v>1</v>
      </c>
      <c r="AE96" s="1">
        <v>67.239999999999995</v>
      </c>
      <c r="AF96" s="1">
        <v>5</v>
      </c>
      <c r="AG96" s="1">
        <v>7</v>
      </c>
      <c r="AH96" s="1">
        <v>7.0000000000000007E-2</v>
      </c>
      <c r="AI96" s="1">
        <v>8.1199999999999992</v>
      </c>
      <c r="AJ96" s="1">
        <v>7.68</v>
      </c>
      <c r="AK96" s="1">
        <v>20.079999999999998</v>
      </c>
      <c r="AL96" s="1">
        <v>2.0299999999999998</v>
      </c>
      <c r="AM96" s="1">
        <v>2.14</v>
      </c>
      <c r="AN96" s="1">
        <v>1.92</v>
      </c>
      <c r="AO96" s="1">
        <v>0</v>
      </c>
      <c r="AP96" s="1">
        <v>0</v>
      </c>
      <c r="AQ96" s="1">
        <v>3</v>
      </c>
      <c r="AR96" s="1">
        <v>5</v>
      </c>
      <c r="AS96" s="1">
        <v>0</v>
      </c>
      <c r="AT96" s="1">
        <v>0</v>
      </c>
      <c r="AU96" s="1">
        <v>-2</v>
      </c>
      <c r="AV96" s="1">
        <v>0</v>
      </c>
      <c r="AW96" s="1">
        <v>0</v>
      </c>
      <c r="AX96" s="1">
        <v>0</v>
      </c>
      <c r="AY96" s="1">
        <v>-0.23</v>
      </c>
      <c r="AZ96" s="1">
        <v>1.48</v>
      </c>
      <c r="BA96" s="1">
        <v>2.4300000000000002</v>
      </c>
      <c r="BB96" s="1">
        <v>2.29</v>
      </c>
      <c r="BC96" s="1">
        <v>1.95</v>
      </c>
      <c r="BD96" s="1">
        <v>-60.82</v>
      </c>
      <c r="BE96" s="1">
        <v>0</v>
      </c>
      <c r="BF96" s="1">
        <v>0.13</v>
      </c>
      <c r="BG96" s="1">
        <v>3.93</v>
      </c>
      <c r="BH96" s="1">
        <v>-0.4</v>
      </c>
      <c r="BI96" s="1">
        <v>1</v>
      </c>
      <c r="BJ96" s="1">
        <v>4.46</v>
      </c>
      <c r="BK96" s="1">
        <v>0</v>
      </c>
      <c r="BL96" s="1">
        <v>0</v>
      </c>
      <c r="BM96" s="1">
        <v>0.84</v>
      </c>
      <c r="BN96" s="1">
        <v>7.0000000000000007E-2</v>
      </c>
      <c r="BO96" s="1">
        <v>-1.67</v>
      </c>
      <c r="BP96" s="1">
        <v>0.98</v>
      </c>
      <c r="BQ96" s="1">
        <v>1.5</v>
      </c>
      <c r="BR96" s="1">
        <v>8.06</v>
      </c>
    </row>
    <row r="97" spans="1:70" x14ac:dyDescent="0.55000000000000004">
      <c r="A97" s="1">
        <v>12876</v>
      </c>
      <c r="B97" s="1">
        <v>47.846899999999998</v>
      </c>
      <c r="C97" s="1">
        <v>-4.2443</v>
      </c>
      <c r="D97" s="1" t="s">
        <v>71</v>
      </c>
      <c r="E97" s="1" t="s">
        <v>73</v>
      </c>
      <c r="F97" s="1">
        <v>12</v>
      </c>
      <c r="G97" s="1">
        <v>9.32</v>
      </c>
      <c r="H97" s="1">
        <v>7.45</v>
      </c>
      <c r="I97" s="1">
        <v>11.19</v>
      </c>
      <c r="J97" s="1">
        <v>0</v>
      </c>
      <c r="K97" s="1">
        <v>0</v>
      </c>
      <c r="L97" s="1">
        <v>1</v>
      </c>
      <c r="M97" s="1">
        <v>5</v>
      </c>
      <c r="N97" s="1">
        <v>0</v>
      </c>
      <c r="O97" s="1">
        <v>1</v>
      </c>
      <c r="P97" s="1">
        <v>2</v>
      </c>
      <c r="Q97" s="1">
        <v>0</v>
      </c>
      <c r="R97" s="1">
        <v>0</v>
      </c>
      <c r="S97" s="1">
        <v>0</v>
      </c>
      <c r="T97" s="1">
        <v>3.74</v>
      </c>
      <c r="U97" s="1">
        <v>13.81</v>
      </c>
      <c r="V97" s="1">
        <v>7.6</v>
      </c>
      <c r="W97" s="1">
        <v>2.59</v>
      </c>
      <c r="X97" s="1">
        <v>11.31</v>
      </c>
      <c r="Y97" s="1">
        <v>238.02</v>
      </c>
      <c r="Z97" s="1">
        <v>0</v>
      </c>
      <c r="AA97" s="1">
        <v>4.03</v>
      </c>
      <c r="AB97" s="1">
        <v>124.86</v>
      </c>
      <c r="AC97" s="1">
        <v>14.7</v>
      </c>
      <c r="AD97" s="1">
        <v>0</v>
      </c>
      <c r="AE97" s="1">
        <v>62.51</v>
      </c>
      <c r="AF97" s="1">
        <v>5</v>
      </c>
      <c r="AG97" s="1">
        <v>7</v>
      </c>
      <c r="AH97" s="1">
        <v>0.1</v>
      </c>
      <c r="AI97" s="1">
        <v>8.24</v>
      </c>
      <c r="AJ97" s="1">
        <v>6.64</v>
      </c>
      <c r="AK97" s="1">
        <v>15.7</v>
      </c>
      <c r="AL97" s="1">
        <v>1.49</v>
      </c>
      <c r="AM97" s="1">
        <v>1.58</v>
      </c>
      <c r="AN97" s="1">
        <v>1.4</v>
      </c>
      <c r="AO97" s="1">
        <v>0</v>
      </c>
      <c r="AP97" s="1">
        <v>0</v>
      </c>
      <c r="AQ97" s="1">
        <v>1</v>
      </c>
      <c r="AR97" s="1">
        <v>3</v>
      </c>
      <c r="AS97" s="1">
        <v>0</v>
      </c>
      <c r="AT97" s="1">
        <v>-1</v>
      </c>
      <c r="AU97" s="1">
        <v>-1</v>
      </c>
      <c r="AV97" s="1">
        <v>0</v>
      </c>
      <c r="AW97" s="1">
        <v>0</v>
      </c>
      <c r="AX97" s="1">
        <v>0</v>
      </c>
      <c r="AY97" s="1">
        <v>-0.18</v>
      </c>
      <c r="AZ97" s="1">
        <v>1.21</v>
      </c>
      <c r="BA97" s="1">
        <v>2.09</v>
      </c>
      <c r="BB97" s="1">
        <v>1.81</v>
      </c>
      <c r="BC97" s="1">
        <v>1.37</v>
      </c>
      <c r="BD97" s="1">
        <v>-46.26</v>
      </c>
      <c r="BE97" s="1">
        <v>0</v>
      </c>
      <c r="BF97" s="1">
        <v>0.17</v>
      </c>
      <c r="BG97" s="1">
        <v>5.0999999999999996</v>
      </c>
      <c r="BH97" s="1">
        <v>-0.73</v>
      </c>
      <c r="BI97" s="1">
        <v>0</v>
      </c>
      <c r="BJ97" s="1">
        <v>6.1</v>
      </c>
      <c r="BK97" s="1">
        <v>-1</v>
      </c>
      <c r="BL97" s="1">
        <v>1</v>
      </c>
      <c r="BM97" s="1">
        <v>0.89</v>
      </c>
      <c r="BN97" s="1">
        <v>-0.14000000000000001</v>
      </c>
      <c r="BO97" s="1">
        <v>0.7</v>
      </c>
      <c r="BP97" s="1">
        <v>0.65</v>
      </c>
      <c r="BQ97" s="1">
        <v>0.43</v>
      </c>
      <c r="BR97" s="1">
        <v>2.8</v>
      </c>
    </row>
    <row r="98" spans="1:70" x14ac:dyDescent="0.55000000000000004">
      <c r="A98" s="1">
        <v>12732</v>
      </c>
      <c r="B98" s="1">
        <v>47.769100000000002</v>
      </c>
      <c r="C98" s="1">
        <v>-4.3418000000000001</v>
      </c>
      <c r="D98" s="1" t="s">
        <v>71</v>
      </c>
      <c r="E98" s="1" t="s">
        <v>74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7.0000000000000007E-2</v>
      </c>
      <c r="AI98" s="1">
        <v>0</v>
      </c>
      <c r="AJ98" s="1">
        <v>0</v>
      </c>
      <c r="AK98" s="1">
        <v>20.56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1.82</v>
      </c>
      <c r="BR98" s="1">
        <v>9.74</v>
      </c>
    </row>
    <row r="99" spans="1:70" x14ac:dyDescent="0.55000000000000004">
      <c r="A99" s="1">
        <v>12732</v>
      </c>
      <c r="B99" s="1">
        <v>47.769100000000002</v>
      </c>
      <c r="C99" s="1">
        <v>-4.3418000000000001</v>
      </c>
      <c r="D99" s="1" t="s">
        <v>71</v>
      </c>
      <c r="E99" s="1" t="s">
        <v>74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25.74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2.67</v>
      </c>
      <c r="BR99" s="1">
        <v>11.58</v>
      </c>
    </row>
    <row r="100" spans="1:70" x14ac:dyDescent="0.55000000000000004">
      <c r="A100" s="1">
        <v>12732</v>
      </c>
      <c r="B100" s="1">
        <v>47.769100000000002</v>
      </c>
      <c r="C100" s="1">
        <v>-4.3418000000000001</v>
      </c>
      <c r="D100" s="1" t="s">
        <v>71</v>
      </c>
      <c r="E100" s="1" t="s">
        <v>74</v>
      </c>
      <c r="F100" s="1">
        <v>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0.03</v>
      </c>
      <c r="AI100" s="1">
        <v>0</v>
      </c>
      <c r="AJ100" s="1">
        <v>0</v>
      </c>
      <c r="AK100" s="1">
        <v>44.91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5.59</v>
      </c>
      <c r="BR100" s="1">
        <v>14.23</v>
      </c>
    </row>
    <row r="101" spans="1:70" x14ac:dyDescent="0.55000000000000004">
      <c r="A101" s="1">
        <v>12732</v>
      </c>
      <c r="B101" s="1">
        <v>47.769100000000002</v>
      </c>
      <c r="C101" s="1">
        <v>-4.3418000000000001</v>
      </c>
      <c r="D101" s="1" t="s">
        <v>71</v>
      </c>
      <c r="E101" s="1" t="s">
        <v>74</v>
      </c>
      <c r="F101" s="1">
        <v>4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0.1</v>
      </c>
      <c r="AI101" s="1">
        <v>0</v>
      </c>
      <c r="AJ101" s="1">
        <v>0</v>
      </c>
      <c r="AK101" s="1">
        <v>66.37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9.42</v>
      </c>
      <c r="BR101" s="1">
        <v>16.55</v>
      </c>
    </row>
    <row r="102" spans="1:70" x14ac:dyDescent="0.55000000000000004">
      <c r="A102" s="1">
        <v>12732</v>
      </c>
      <c r="B102" s="1">
        <v>47.769100000000002</v>
      </c>
      <c r="C102" s="1">
        <v>-4.3418000000000001</v>
      </c>
      <c r="D102" s="1" t="s">
        <v>71</v>
      </c>
      <c r="E102" s="1" t="s">
        <v>74</v>
      </c>
      <c r="F102" s="1">
        <v>5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0.17</v>
      </c>
      <c r="AI102" s="1">
        <v>0</v>
      </c>
      <c r="AJ102" s="1">
        <v>0</v>
      </c>
      <c r="AK102" s="1">
        <v>97.16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16.23</v>
      </c>
      <c r="BR102" s="1">
        <v>20.05</v>
      </c>
    </row>
    <row r="103" spans="1:70" x14ac:dyDescent="0.55000000000000004">
      <c r="A103" s="1">
        <v>12732</v>
      </c>
      <c r="B103" s="1">
        <v>47.769100000000002</v>
      </c>
      <c r="C103" s="1">
        <v>-4.3418000000000001</v>
      </c>
      <c r="D103" s="1" t="s">
        <v>71</v>
      </c>
      <c r="E103" s="1" t="s">
        <v>74</v>
      </c>
      <c r="F103" s="1">
        <v>6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0.14000000000000001</v>
      </c>
      <c r="AI103" s="1">
        <v>0</v>
      </c>
      <c r="AJ103" s="1">
        <v>0</v>
      </c>
      <c r="AK103" s="1">
        <v>92.72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9.69</v>
      </c>
      <c r="BR103" s="1">
        <v>11.67</v>
      </c>
    </row>
    <row r="104" spans="1:70" x14ac:dyDescent="0.55000000000000004">
      <c r="A104" s="1">
        <v>12732</v>
      </c>
      <c r="B104" s="1">
        <v>47.769100000000002</v>
      </c>
      <c r="C104" s="1">
        <v>-4.3418000000000001</v>
      </c>
      <c r="D104" s="1" t="s">
        <v>71</v>
      </c>
      <c r="E104" s="1" t="s">
        <v>74</v>
      </c>
      <c r="F104" s="1">
        <v>7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0.24</v>
      </c>
      <c r="AI104" s="1">
        <v>0</v>
      </c>
      <c r="AJ104" s="1">
        <v>0</v>
      </c>
      <c r="AK104" s="1">
        <v>99.25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5.9</v>
      </c>
      <c r="BR104" s="1">
        <v>6.32</v>
      </c>
    </row>
    <row r="105" spans="1:70" x14ac:dyDescent="0.55000000000000004">
      <c r="A105" s="1">
        <v>12732</v>
      </c>
      <c r="B105" s="1">
        <v>47.769100000000002</v>
      </c>
      <c r="C105" s="1">
        <v>-4.3418000000000001</v>
      </c>
      <c r="D105" s="1" t="s">
        <v>71</v>
      </c>
      <c r="E105" s="1" t="s">
        <v>74</v>
      </c>
      <c r="F105" s="1">
        <v>8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0.21</v>
      </c>
      <c r="AI105" s="1">
        <v>0</v>
      </c>
      <c r="AJ105" s="1">
        <v>0</v>
      </c>
      <c r="AK105" s="1">
        <v>85.95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5.5</v>
      </c>
      <c r="BR105" s="1">
        <v>6.84</v>
      </c>
    </row>
    <row r="106" spans="1:70" x14ac:dyDescent="0.55000000000000004">
      <c r="A106" s="1">
        <v>12732</v>
      </c>
      <c r="B106" s="1">
        <v>47.769100000000002</v>
      </c>
      <c r="C106" s="1">
        <v>-4.3418000000000001</v>
      </c>
      <c r="D106" s="1" t="s">
        <v>71</v>
      </c>
      <c r="E106" s="1" t="s">
        <v>74</v>
      </c>
      <c r="F106" s="1">
        <v>9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0.21</v>
      </c>
      <c r="AI106" s="1">
        <v>0</v>
      </c>
      <c r="AJ106" s="1">
        <v>0</v>
      </c>
      <c r="AK106" s="1">
        <v>69.48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11.09</v>
      </c>
      <c r="BR106" s="1">
        <v>18.989999999999998</v>
      </c>
    </row>
    <row r="107" spans="1:70" x14ac:dyDescent="0.55000000000000004">
      <c r="A107" s="1">
        <v>12732</v>
      </c>
      <c r="B107" s="1">
        <v>47.769100000000002</v>
      </c>
      <c r="C107" s="1">
        <v>-4.3418000000000001</v>
      </c>
      <c r="D107" s="1" t="s">
        <v>71</v>
      </c>
      <c r="E107" s="1" t="s">
        <v>74</v>
      </c>
      <c r="F107" s="1">
        <v>10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7.0000000000000007E-2</v>
      </c>
      <c r="AI107" s="1">
        <v>0</v>
      </c>
      <c r="AJ107" s="1">
        <v>0</v>
      </c>
      <c r="AK107" s="1">
        <v>40.06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5.18</v>
      </c>
      <c r="BR107" s="1">
        <v>14.86</v>
      </c>
    </row>
    <row r="108" spans="1:70" x14ac:dyDescent="0.55000000000000004">
      <c r="A108" s="1">
        <v>12732</v>
      </c>
      <c r="B108" s="1">
        <v>47.769100000000002</v>
      </c>
      <c r="C108" s="1">
        <v>-4.3418000000000001</v>
      </c>
      <c r="D108" s="1" t="s">
        <v>71</v>
      </c>
      <c r="E108" s="1" t="s">
        <v>74</v>
      </c>
      <c r="F108" s="1">
        <v>11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0.14000000000000001</v>
      </c>
      <c r="AI108" s="1">
        <v>0</v>
      </c>
      <c r="AJ108" s="1">
        <v>0</v>
      </c>
      <c r="AK108" s="1">
        <v>21.62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1.89</v>
      </c>
      <c r="BR108" s="1">
        <v>9.59</v>
      </c>
    </row>
    <row r="109" spans="1:70" x14ac:dyDescent="0.55000000000000004">
      <c r="A109" s="1">
        <v>12732</v>
      </c>
      <c r="B109" s="1">
        <v>47.769100000000002</v>
      </c>
      <c r="C109" s="1">
        <v>-4.3418000000000001</v>
      </c>
      <c r="D109" s="1" t="s">
        <v>71</v>
      </c>
      <c r="E109" s="1" t="s">
        <v>74</v>
      </c>
      <c r="F109" s="1">
        <v>12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0.03</v>
      </c>
      <c r="AI109" s="1">
        <v>0</v>
      </c>
      <c r="AJ109" s="1">
        <v>0</v>
      </c>
      <c r="AK109" s="1">
        <v>17.899999999999999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0.9</v>
      </c>
      <c r="BR109" s="1">
        <v>5.3</v>
      </c>
    </row>
    <row r="110" spans="1:70" x14ac:dyDescent="0.55000000000000004">
      <c r="A110" s="1">
        <v>12733</v>
      </c>
      <c r="B110" s="1">
        <v>47.775199999999998</v>
      </c>
      <c r="C110" s="1">
        <v>-4.2354000000000003</v>
      </c>
      <c r="D110" s="1" t="s">
        <v>71</v>
      </c>
      <c r="E110" s="1" t="s">
        <v>74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7.0000000000000007E-2</v>
      </c>
      <c r="AI110" s="1">
        <v>0</v>
      </c>
      <c r="AJ110" s="1">
        <v>0</v>
      </c>
      <c r="AK110" s="1">
        <v>19.21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2.3199999999999998</v>
      </c>
      <c r="BR110" s="1">
        <v>13.71</v>
      </c>
    </row>
    <row r="111" spans="1:70" x14ac:dyDescent="0.55000000000000004">
      <c r="A111" s="1">
        <v>12733</v>
      </c>
      <c r="B111" s="1">
        <v>47.775199999999998</v>
      </c>
      <c r="C111" s="1">
        <v>-4.2354000000000003</v>
      </c>
      <c r="D111" s="1" t="s">
        <v>71</v>
      </c>
      <c r="E111" s="1" t="s">
        <v>74</v>
      </c>
      <c r="F111" s="1">
        <v>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24.66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0</v>
      </c>
      <c r="BB111" s="1">
        <v>0</v>
      </c>
      <c r="BC111" s="1">
        <v>0</v>
      </c>
      <c r="BD111" s="1">
        <v>0</v>
      </c>
      <c r="BE111" s="1">
        <v>0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2.93</v>
      </c>
      <c r="BR111" s="1">
        <v>13.48</v>
      </c>
    </row>
    <row r="112" spans="1:70" x14ac:dyDescent="0.55000000000000004">
      <c r="A112" s="1">
        <v>12733</v>
      </c>
      <c r="B112" s="1">
        <v>47.775199999999998</v>
      </c>
      <c r="C112" s="1">
        <v>-4.2354000000000003</v>
      </c>
      <c r="D112" s="1" t="s">
        <v>71</v>
      </c>
      <c r="E112" s="1" t="s">
        <v>74</v>
      </c>
      <c r="F112" s="1">
        <v>3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0.03</v>
      </c>
      <c r="AI112" s="1">
        <v>0</v>
      </c>
      <c r="AJ112" s="1">
        <v>0</v>
      </c>
      <c r="AK112" s="1">
        <v>46.15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5.96</v>
      </c>
      <c r="BR112" s="1">
        <v>14.83</v>
      </c>
    </row>
    <row r="113" spans="1:70" x14ac:dyDescent="0.55000000000000004">
      <c r="A113" s="1">
        <v>12733</v>
      </c>
      <c r="B113" s="1">
        <v>47.775199999999998</v>
      </c>
      <c r="C113" s="1">
        <v>-4.2354000000000003</v>
      </c>
      <c r="D113" s="1" t="s">
        <v>71</v>
      </c>
      <c r="E113" s="1" t="s">
        <v>74</v>
      </c>
      <c r="F113" s="1">
        <v>4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0.1</v>
      </c>
      <c r="AI113" s="1">
        <v>0</v>
      </c>
      <c r="AJ113" s="1">
        <v>0</v>
      </c>
      <c r="AK113" s="1">
        <v>68.650000000000006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0</v>
      </c>
      <c r="BB113" s="1">
        <v>0</v>
      </c>
      <c r="BC113" s="1">
        <v>0</v>
      </c>
      <c r="BD113" s="1">
        <v>0</v>
      </c>
      <c r="BE113" s="1">
        <v>0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9.67</v>
      </c>
      <c r="BR113" s="1">
        <v>16.39</v>
      </c>
    </row>
    <row r="114" spans="1:70" x14ac:dyDescent="0.55000000000000004">
      <c r="A114" s="1">
        <v>12733</v>
      </c>
      <c r="B114" s="1">
        <v>47.775199999999998</v>
      </c>
      <c r="C114" s="1">
        <v>-4.2354000000000003</v>
      </c>
      <c r="D114" s="1" t="s">
        <v>71</v>
      </c>
      <c r="E114" s="1" t="s">
        <v>74</v>
      </c>
      <c r="F114" s="1">
        <v>5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0.17</v>
      </c>
      <c r="AI114" s="1">
        <v>0</v>
      </c>
      <c r="AJ114" s="1">
        <v>0</v>
      </c>
      <c r="AK114" s="1">
        <v>99.55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0</v>
      </c>
      <c r="BB114" s="1">
        <v>0</v>
      </c>
      <c r="BC114" s="1">
        <v>0</v>
      </c>
      <c r="BD114" s="1">
        <v>0</v>
      </c>
      <c r="BE114" s="1">
        <v>0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15.6</v>
      </c>
      <c r="BR114" s="1">
        <v>18.59</v>
      </c>
    </row>
    <row r="115" spans="1:70" x14ac:dyDescent="0.55000000000000004">
      <c r="A115" s="1">
        <v>12733</v>
      </c>
      <c r="B115" s="1">
        <v>47.775199999999998</v>
      </c>
      <c r="C115" s="1">
        <v>-4.2354000000000003</v>
      </c>
      <c r="D115" s="1" t="s">
        <v>71</v>
      </c>
      <c r="E115" s="1" t="s">
        <v>74</v>
      </c>
      <c r="F115" s="1">
        <v>6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0.1</v>
      </c>
      <c r="AI115" s="1">
        <v>0</v>
      </c>
      <c r="AJ115" s="1">
        <v>0</v>
      </c>
      <c r="AK115" s="1">
        <v>99.97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11.21</v>
      </c>
      <c r="BR115" s="1">
        <v>12.63</v>
      </c>
    </row>
    <row r="116" spans="1:70" x14ac:dyDescent="0.55000000000000004">
      <c r="A116" s="1">
        <v>12733</v>
      </c>
      <c r="B116" s="1">
        <v>47.775199999999998</v>
      </c>
      <c r="C116" s="1">
        <v>-4.2354000000000003</v>
      </c>
      <c r="D116" s="1" t="s">
        <v>71</v>
      </c>
      <c r="E116" s="1" t="s">
        <v>74</v>
      </c>
      <c r="F116" s="1">
        <v>7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0.24</v>
      </c>
      <c r="AI116" s="1">
        <v>0</v>
      </c>
      <c r="AJ116" s="1">
        <v>0</v>
      </c>
      <c r="AK116" s="1">
        <v>107.07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7.06</v>
      </c>
      <c r="BR116" s="1">
        <v>7.06</v>
      </c>
    </row>
    <row r="117" spans="1:70" x14ac:dyDescent="0.55000000000000004">
      <c r="A117" s="1">
        <v>12733</v>
      </c>
      <c r="B117" s="1">
        <v>47.775199999999998</v>
      </c>
      <c r="C117" s="1">
        <v>-4.2354000000000003</v>
      </c>
      <c r="D117" s="1" t="s">
        <v>71</v>
      </c>
      <c r="E117" s="1" t="s">
        <v>74</v>
      </c>
      <c r="F117" s="1">
        <v>8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0.21</v>
      </c>
      <c r="AI117" s="1">
        <v>0</v>
      </c>
      <c r="AJ117" s="1">
        <v>0</v>
      </c>
      <c r="AK117" s="1">
        <v>93.04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0</v>
      </c>
      <c r="BG117" s="1">
        <v>0</v>
      </c>
      <c r="BH117" s="1">
        <v>0</v>
      </c>
      <c r="BI117" s="1">
        <v>0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6.69</v>
      </c>
      <c r="BR117" s="1">
        <v>7.75</v>
      </c>
    </row>
    <row r="118" spans="1:70" x14ac:dyDescent="0.55000000000000004">
      <c r="A118" s="1">
        <v>12733</v>
      </c>
      <c r="B118" s="1">
        <v>47.775199999999998</v>
      </c>
      <c r="C118" s="1">
        <v>-4.2354000000000003</v>
      </c>
      <c r="D118" s="1" t="s">
        <v>71</v>
      </c>
      <c r="E118" s="1" t="s">
        <v>74</v>
      </c>
      <c r="F118" s="1">
        <v>9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0.21</v>
      </c>
      <c r="AI118" s="1">
        <v>0</v>
      </c>
      <c r="AJ118" s="1">
        <v>0</v>
      </c>
      <c r="AK118" s="1">
        <v>72.11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11.09</v>
      </c>
      <c r="BR118" s="1">
        <v>18.170000000000002</v>
      </c>
    </row>
    <row r="119" spans="1:70" x14ac:dyDescent="0.55000000000000004">
      <c r="A119" s="1">
        <v>12733</v>
      </c>
      <c r="B119" s="1">
        <v>47.775199999999998</v>
      </c>
      <c r="C119" s="1">
        <v>-4.2354000000000003</v>
      </c>
      <c r="D119" s="1" t="s">
        <v>71</v>
      </c>
      <c r="E119" s="1" t="s">
        <v>74</v>
      </c>
      <c r="F119" s="1">
        <v>10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0.1</v>
      </c>
      <c r="AI119" s="1">
        <v>0</v>
      </c>
      <c r="AJ119" s="1">
        <v>0</v>
      </c>
      <c r="AK119" s="1">
        <v>41.71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6.41</v>
      </c>
      <c r="BR119" s="1">
        <v>18.170000000000002</v>
      </c>
    </row>
    <row r="120" spans="1:70" x14ac:dyDescent="0.55000000000000004">
      <c r="A120" s="1">
        <v>12733</v>
      </c>
      <c r="B120" s="1">
        <v>47.775199999999998</v>
      </c>
      <c r="C120" s="1">
        <v>-4.2354000000000003</v>
      </c>
      <c r="D120" s="1" t="s">
        <v>71</v>
      </c>
      <c r="E120" s="1" t="s">
        <v>74</v>
      </c>
      <c r="F120" s="1">
        <v>11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0.14000000000000001</v>
      </c>
      <c r="AI120" s="1">
        <v>0</v>
      </c>
      <c r="AJ120" s="1">
        <v>0</v>
      </c>
      <c r="AK120" s="1">
        <v>21.45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2.82</v>
      </c>
      <c r="BR120" s="1">
        <v>15.15</v>
      </c>
    </row>
    <row r="121" spans="1:70" x14ac:dyDescent="0.55000000000000004">
      <c r="A121" s="1">
        <v>12733</v>
      </c>
      <c r="B121" s="1">
        <v>47.775199999999998</v>
      </c>
      <c r="C121" s="1">
        <v>-4.2354000000000003</v>
      </c>
      <c r="D121" s="1" t="s">
        <v>71</v>
      </c>
      <c r="E121" s="1" t="s">
        <v>74</v>
      </c>
      <c r="F121" s="1">
        <v>12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0.03</v>
      </c>
      <c r="AI121" s="1">
        <v>0</v>
      </c>
      <c r="AJ121" s="1">
        <v>0</v>
      </c>
      <c r="AK121" s="1">
        <v>16.57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0</v>
      </c>
      <c r="BG121" s="1">
        <v>0</v>
      </c>
      <c r="BH121" s="1">
        <v>0</v>
      </c>
      <c r="BI121" s="1">
        <v>0</v>
      </c>
      <c r="BJ121" s="1">
        <v>0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1.26</v>
      </c>
      <c r="BR121" s="1">
        <v>8.2200000000000006</v>
      </c>
    </row>
    <row r="122" spans="1:70" x14ac:dyDescent="0.55000000000000004">
      <c r="A122" s="1">
        <v>12875</v>
      </c>
      <c r="B122" s="1">
        <v>47.840800000000002</v>
      </c>
      <c r="C122" s="1">
        <v>-4.3507999999999996</v>
      </c>
      <c r="D122" s="1" t="s">
        <v>71</v>
      </c>
      <c r="E122" s="1" t="s">
        <v>74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7.0000000000000007E-2</v>
      </c>
      <c r="AI122" s="1">
        <v>0</v>
      </c>
      <c r="AJ122" s="1">
        <v>0</v>
      </c>
      <c r="AK122" s="1">
        <v>20.54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1.82</v>
      </c>
      <c r="BR122" s="1">
        <v>9.6999999999999993</v>
      </c>
    </row>
    <row r="123" spans="1:70" x14ac:dyDescent="0.55000000000000004">
      <c r="A123" s="1">
        <v>12875</v>
      </c>
      <c r="B123" s="1">
        <v>47.840800000000002</v>
      </c>
      <c r="C123" s="1">
        <v>-4.3507999999999996</v>
      </c>
      <c r="D123" s="1" t="s">
        <v>71</v>
      </c>
      <c r="E123" s="1" t="s">
        <v>74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25.69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0</v>
      </c>
      <c r="AZ123" s="1">
        <v>0</v>
      </c>
      <c r="BA123" s="1">
        <v>0</v>
      </c>
      <c r="BB123" s="1">
        <v>0</v>
      </c>
      <c r="BC123" s="1">
        <v>0</v>
      </c>
      <c r="BD123" s="1">
        <v>0</v>
      </c>
      <c r="BE123" s="1">
        <v>0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2.67</v>
      </c>
      <c r="BR123" s="1">
        <v>11.6</v>
      </c>
    </row>
    <row r="124" spans="1:70" x14ac:dyDescent="0.55000000000000004">
      <c r="A124" s="1">
        <v>12875</v>
      </c>
      <c r="B124" s="1">
        <v>47.840800000000002</v>
      </c>
      <c r="C124" s="1">
        <v>-4.3507999999999996</v>
      </c>
      <c r="D124" s="1" t="s">
        <v>71</v>
      </c>
      <c r="E124" s="1" t="s">
        <v>74</v>
      </c>
      <c r="F124" s="1">
        <v>3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0.03</v>
      </c>
      <c r="AI124" s="1">
        <v>0</v>
      </c>
      <c r="AJ124" s="1">
        <v>0</v>
      </c>
      <c r="AK124" s="1">
        <v>44.8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0</v>
      </c>
      <c r="BB124" s="1">
        <v>0</v>
      </c>
      <c r="BC124" s="1">
        <v>0</v>
      </c>
      <c r="BD124" s="1">
        <v>0</v>
      </c>
      <c r="BE124" s="1">
        <v>0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5.6</v>
      </c>
      <c r="BR124" s="1">
        <v>14.3</v>
      </c>
    </row>
    <row r="125" spans="1:70" x14ac:dyDescent="0.55000000000000004">
      <c r="A125" s="1">
        <v>12875</v>
      </c>
      <c r="B125" s="1">
        <v>47.840800000000002</v>
      </c>
      <c r="C125" s="1">
        <v>-4.3507999999999996</v>
      </c>
      <c r="D125" s="1" t="s">
        <v>71</v>
      </c>
      <c r="E125" s="1" t="s">
        <v>74</v>
      </c>
      <c r="F125" s="1">
        <v>4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0.1</v>
      </c>
      <c r="AI125" s="1">
        <v>0</v>
      </c>
      <c r="AJ125" s="1">
        <v>0</v>
      </c>
      <c r="AK125" s="1">
        <v>66.16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9.43</v>
      </c>
      <c r="BR125" s="1">
        <v>16.62</v>
      </c>
    </row>
    <row r="126" spans="1:70" x14ac:dyDescent="0.55000000000000004">
      <c r="A126" s="1">
        <v>12875</v>
      </c>
      <c r="B126" s="1">
        <v>47.840800000000002</v>
      </c>
      <c r="C126" s="1">
        <v>-4.3507999999999996</v>
      </c>
      <c r="D126" s="1" t="s">
        <v>71</v>
      </c>
      <c r="E126" s="1" t="s">
        <v>74</v>
      </c>
      <c r="F126" s="1">
        <v>5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0.17</v>
      </c>
      <c r="AI126" s="1">
        <v>0</v>
      </c>
      <c r="AJ126" s="1">
        <v>0</v>
      </c>
      <c r="AK126" s="1">
        <v>96.95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16.27</v>
      </c>
      <c r="BR126" s="1">
        <v>20.16</v>
      </c>
    </row>
    <row r="127" spans="1:70" x14ac:dyDescent="0.55000000000000004">
      <c r="A127" s="1">
        <v>12875</v>
      </c>
      <c r="B127" s="1">
        <v>47.840800000000002</v>
      </c>
      <c r="C127" s="1">
        <v>-4.3507999999999996</v>
      </c>
      <c r="D127" s="1" t="s">
        <v>71</v>
      </c>
      <c r="E127" s="1" t="s">
        <v>74</v>
      </c>
      <c r="F127" s="1">
        <v>6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0.14000000000000001</v>
      </c>
      <c r="AI127" s="1">
        <v>0</v>
      </c>
      <c r="AJ127" s="1">
        <v>0</v>
      </c>
      <c r="AK127" s="1">
        <v>92.48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0</v>
      </c>
      <c r="BD127" s="1">
        <v>0</v>
      </c>
      <c r="BE127" s="1">
        <v>0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9.74</v>
      </c>
      <c r="BR127" s="1">
        <v>11.77</v>
      </c>
    </row>
    <row r="128" spans="1:70" x14ac:dyDescent="0.55000000000000004">
      <c r="A128" s="1">
        <v>12875</v>
      </c>
      <c r="B128" s="1">
        <v>47.840800000000002</v>
      </c>
      <c r="C128" s="1">
        <v>-4.3507999999999996</v>
      </c>
      <c r="D128" s="1" t="s">
        <v>71</v>
      </c>
      <c r="E128" s="1" t="s">
        <v>74</v>
      </c>
      <c r="F128" s="1">
        <v>7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0.24</v>
      </c>
      <c r="AI128" s="1">
        <v>0</v>
      </c>
      <c r="AJ128" s="1">
        <v>0</v>
      </c>
      <c r="AK128" s="1">
        <v>99.18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6.06</v>
      </c>
      <c r="BR128" s="1">
        <v>6.5</v>
      </c>
    </row>
    <row r="129" spans="1:70" x14ac:dyDescent="0.55000000000000004">
      <c r="A129" s="1">
        <v>12875</v>
      </c>
      <c r="B129" s="1">
        <v>47.840800000000002</v>
      </c>
      <c r="C129" s="1">
        <v>-4.3507999999999996</v>
      </c>
      <c r="D129" s="1" t="s">
        <v>71</v>
      </c>
      <c r="E129" s="1" t="s">
        <v>74</v>
      </c>
      <c r="F129" s="1">
        <v>8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0.21</v>
      </c>
      <c r="AI129" s="1">
        <v>0</v>
      </c>
      <c r="AJ129" s="1">
        <v>0</v>
      </c>
      <c r="AK129" s="1">
        <v>85.94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5.68</v>
      </c>
      <c r="BR129" s="1">
        <v>7.08</v>
      </c>
    </row>
    <row r="130" spans="1:70" x14ac:dyDescent="0.55000000000000004">
      <c r="A130" s="1">
        <v>12875</v>
      </c>
      <c r="B130" s="1">
        <v>47.840800000000002</v>
      </c>
      <c r="C130" s="1">
        <v>-4.3507999999999996</v>
      </c>
      <c r="D130" s="1" t="s">
        <v>71</v>
      </c>
      <c r="E130" s="1" t="s">
        <v>74</v>
      </c>
      <c r="F130" s="1">
        <v>9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0.21</v>
      </c>
      <c r="AI130" s="1">
        <v>0</v>
      </c>
      <c r="AJ130" s="1">
        <v>0</v>
      </c>
      <c r="AK130" s="1">
        <v>69.209999999999994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11.03</v>
      </c>
      <c r="BR130" s="1">
        <v>18.95</v>
      </c>
    </row>
    <row r="131" spans="1:70" x14ac:dyDescent="0.55000000000000004">
      <c r="A131" s="1">
        <v>12875</v>
      </c>
      <c r="B131" s="1">
        <v>47.840800000000002</v>
      </c>
      <c r="C131" s="1">
        <v>-4.3507999999999996</v>
      </c>
      <c r="D131" s="1" t="s">
        <v>71</v>
      </c>
      <c r="E131" s="1" t="s">
        <v>74</v>
      </c>
      <c r="F131" s="1">
        <v>10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7.0000000000000007E-2</v>
      </c>
      <c r="AI131" s="1">
        <v>0</v>
      </c>
      <c r="AJ131" s="1">
        <v>0</v>
      </c>
      <c r="AK131" s="1">
        <v>39.94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5.15</v>
      </c>
      <c r="BR131" s="1">
        <v>14.81</v>
      </c>
    </row>
    <row r="132" spans="1:70" x14ac:dyDescent="0.55000000000000004">
      <c r="A132" s="1">
        <v>12875</v>
      </c>
      <c r="B132" s="1">
        <v>47.840800000000002</v>
      </c>
      <c r="C132" s="1">
        <v>-4.3507999999999996</v>
      </c>
      <c r="D132" s="1" t="s">
        <v>71</v>
      </c>
      <c r="E132" s="1" t="s">
        <v>74</v>
      </c>
      <c r="F132" s="1">
        <v>11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0.14000000000000001</v>
      </c>
      <c r="AI132" s="1">
        <v>0</v>
      </c>
      <c r="AJ132" s="1">
        <v>0</v>
      </c>
      <c r="AK132" s="1">
        <v>21.59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0</v>
      </c>
      <c r="BP132" s="1">
        <v>0</v>
      </c>
      <c r="BQ132" s="1">
        <v>1.85</v>
      </c>
      <c r="BR132" s="1">
        <v>9.39</v>
      </c>
    </row>
    <row r="133" spans="1:70" x14ac:dyDescent="0.55000000000000004">
      <c r="A133" s="1">
        <v>12875</v>
      </c>
      <c r="B133" s="1">
        <v>47.840800000000002</v>
      </c>
      <c r="C133" s="1">
        <v>-4.3507999999999996</v>
      </c>
      <c r="D133" s="1" t="s">
        <v>71</v>
      </c>
      <c r="E133" s="1" t="s">
        <v>74</v>
      </c>
      <c r="F133" s="1">
        <v>12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0.03</v>
      </c>
      <c r="AI133" s="1">
        <v>0</v>
      </c>
      <c r="AJ133" s="1">
        <v>0</v>
      </c>
      <c r="AK133" s="1">
        <v>17.899999999999999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0.91</v>
      </c>
      <c r="BR133" s="1">
        <v>5.33</v>
      </c>
    </row>
    <row r="134" spans="1:70" x14ac:dyDescent="0.55000000000000004">
      <c r="A134" s="1">
        <v>12876</v>
      </c>
      <c r="B134" s="1">
        <v>47.846899999999998</v>
      </c>
      <c r="C134" s="1">
        <v>-4.2443</v>
      </c>
      <c r="D134" s="1" t="s">
        <v>71</v>
      </c>
      <c r="E134" s="1" t="s">
        <v>74</v>
      </c>
      <c r="F134" s="1">
        <v>1</v>
      </c>
      <c r="G134" s="1">
        <v>9.86</v>
      </c>
      <c r="H134" s="1">
        <v>7.93</v>
      </c>
      <c r="I134" s="1">
        <v>11.79</v>
      </c>
      <c r="J134" s="1">
        <v>0</v>
      </c>
      <c r="K134" s="1">
        <v>0</v>
      </c>
      <c r="L134" s="1">
        <v>6</v>
      </c>
      <c r="M134" s="1">
        <v>13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1</v>
      </c>
      <c r="T134" s="1">
        <v>3.86</v>
      </c>
      <c r="U134" s="1">
        <v>14.05</v>
      </c>
      <c r="V134" s="1">
        <v>8.41</v>
      </c>
      <c r="W134" s="1">
        <v>2.93</v>
      </c>
      <c r="X134" s="1">
        <v>11.37</v>
      </c>
      <c r="Y134" s="1">
        <v>221.39</v>
      </c>
      <c r="Z134" s="1">
        <v>0</v>
      </c>
      <c r="AA134" s="1">
        <v>3.78</v>
      </c>
      <c r="AB134" s="1">
        <v>117.11</v>
      </c>
      <c r="AC134" s="1">
        <v>13.6</v>
      </c>
      <c r="AD134" s="1">
        <v>1</v>
      </c>
      <c r="AE134" s="1">
        <v>65.64</v>
      </c>
      <c r="AF134" s="1">
        <v>5</v>
      </c>
      <c r="AG134" s="1">
        <v>8</v>
      </c>
      <c r="AH134" s="1">
        <v>7.0000000000000007E-2</v>
      </c>
      <c r="AI134" s="1">
        <v>8.17</v>
      </c>
      <c r="AJ134" s="1">
        <v>6.76</v>
      </c>
      <c r="AK134" s="1">
        <v>19.14</v>
      </c>
      <c r="AL134" s="1">
        <v>3.18</v>
      </c>
      <c r="AM134" s="1">
        <v>3.35</v>
      </c>
      <c r="AN134" s="1">
        <v>3.02</v>
      </c>
      <c r="AO134" s="1">
        <v>0</v>
      </c>
      <c r="AP134" s="1">
        <v>0</v>
      </c>
      <c r="AQ134" s="1">
        <v>6</v>
      </c>
      <c r="AR134" s="1">
        <v>11</v>
      </c>
      <c r="AS134" s="1">
        <v>0</v>
      </c>
      <c r="AT134" s="1">
        <v>-4</v>
      </c>
      <c r="AU134" s="1">
        <v>-3</v>
      </c>
      <c r="AV134" s="1">
        <v>0</v>
      </c>
      <c r="AW134" s="1">
        <v>0</v>
      </c>
      <c r="AX134" s="1">
        <v>1</v>
      </c>
      <c r="AY134" s="1">
        <v>-0.33</v>
      </c>
      <c r="AZ134" s="1">
        <v>2.16</v>
      </c>
      <c r="BA134" s="1">
        <v>3.87</v>
      </c>
      <c r="BB134" s="1">
        <v>3.06</v>
      </c>
      <c r="BC134" s="1">
        <v>2.6</v>
      </c>
      <c r="BD134" s="1">
        <v>-98.67</v>
      </c>
      <c r="BE134" s="1">
        <v>0</v>
      </c>
      <c r="BF134" s="1">
        <v>0.17</v>
      </c>
      <c r="BG134" s="1">
        <v>5.09</v>
      </c>
      <c r="BH134" s="1">
        <v>-1.37</v>
      </c>
      <c r="BI134" s="1">
        <v>1</v>
      </c>
      <c r="BJ134" s="1">
        <v>7.09</v>
      </c>
      <c r="BK134" s="1">
        <v>0</v>
      </c>
      <c r="BL134" s="1">
        <v>1</v>
      </c>
      <c r="BM134" s="1">
        <v>1.1299999999999999</v>
      </c>
      <c r="BN134" s="1">
        <v>-0.19</v>
      </c>
      <c r="BO134" s="1">
        <v>0.3</v>
      </c>
      <c r="BP134" s="1">
        <v>1.28</v>
      </c>
      <c r="BQ134" s="1">
        <v>2.27</v>
      </c>
      <c r="BR134" s="1">
        <v>13.48</v>
      </c>
    </row>
    <row r="135" spans="1:70" x14ac:dyDescent="0.55000000000000004">
      <c r="A135" s="1">
        <v>12876</v>
      </c>
      <c r="B135" s="1">
        <v>47.846899999999998</v>
      </c>
      <c r="C135" s="1">
        <v>-4.2443</v>
      </c>
      <c r="D135" s="1" t="s">
        <v>71</v>
      </c>
      <c r="E135" s="1" t="s">
        <v>74</v>
      </c>
      <c r="F135" s="1">
        <v>2</v>
      </c>
      <c r="G135" s="1">
        <v>9.7899999999999991</v>
      </c>
      <c r="H135" s="1">
        <v>7.71</v>
      </c>
      <c r="I135" s="1">
        <v>11.87</v>
      </c>
      <c r="J135" s="1">
        <v>0</v>
      </c>
      <c r="K135" s="1">
        <v>0</v>
      </c>
      <c r="L135" s="1">
        <v>3</v>
      </c>
      <c r="M135" s="1">
        <v>11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4.17</v>
      </c>
      <c r="U135" s="1">
        <v>13.94</v>
      </c>
      <c r="V135" s="1">
        <v>9.1999999999999993</v>
      </c>
      <c r="W135" s="1">
        <v>3.24</v>
      </c>
      <c r="X135" s="1">
        <v>10.91</v>
      </c>
      <c r="Y135" s="1">
        <v>203.66</v>
      </c>
      <c r="Z135" s="1">
        <v>0</v>
      </c>
      <c r="AA135" s="1">
        <v>3.57</v>
      </c>
      <c r="AB135" s="1">
        <v>100.85</v>
      </c>
      <c r="AC135" s="1">
        <v>13.27</v>
      </c>
      <c r="AD135" s="1">
        <v>0</v>
      </c>
      <c r="AE135" s="1">
        <v>55.72</v>
      </c>
      <c r="AF135" s="1">
        <v>5</v>
      </c>
      <c r="AG135" s="1">
        <v>7</v>
      </c>
      <c r="AH135" s="1">
        <v>0</v>
      </c>
      <c r="AI135" s="1">
        <v>7.38</v>
      </c>
      <c r="AJ135" s="1">
        <v>6.62</v>
      </c>
      <c r="AK135" s="1">
        <v>24.52</v>
      </c>
      <c r="AL135" s="1">
        <v>3.12</v>
      </c>
      <c r="AM135" s="1">
        <v>3.46</v>
      </c>
      <c r="AN135" s="1">
        <v>2.78</v>
      </c>
      <c r="AO135" s="1">
        <v>0</v>
      </c>
      <c r="AP135" s="1">
        <v>0</v>
      </c>
      <c r="AQ135" s="1">
        <v>3</v>
      </c>
      <c r="AR135" s="1">
        <v>9</v>
      </c>
      <c r="AS135" s="1">
        <v>0</v>
      </c>
      <c r="AT135" s="1">
        <v>-3</v>
      </c>
      <c r="AU135" s="1">
        <v>-2</v>
      </c>
      <c r="AV135" s="1">
        <v>0</v>
      </c>
      <c r="AW135" s="1">
        <v>0</v>
      </c>
      <c r="AX135" s="1">
        <v>0</v>
      </c>
      <c r="AY135" s="1">
        <v>-0.67</v>
      </c>
      <c r="AZ135" s="1">
        <v>2.39</v>
      </c>
      <c r="BA135" s="1">
        <v>3.56</v>
      </c>
      <c r="BB135" s="1">
        <v>3.15</v>
      </c>
      <c r="BC135" s="1">
        <v>2.86</v>
      </c>
      <c r="BD135" s="1">
        <v>-88.34</v>
      </c>
      <c r="BE135" s="1">
        <v>0</v>
      </c>
      <c r="BF135" s="1">
        <v>0.86</v>
      </c>
      <c r="BG135" s="1">
        <v>24.21</v>
      </c>
      <c r="BH135" s="1">
        <v>2.4</v>
      </c>
      <c r="BI135" s="1">
        <v>0</v>
      </c>
      <c r="BJ135" s="1">
        <v>-0.14000000000000001</v>
      </c>
      <c r="BK135" s="1">
        <v>1</v>
      </c>
      <c r="BL135" s="1">
        <v>-2</v>
      </c>
      <c r="BM135" s="1">
        <v>0.73</v>
      </c>
      <c r="BN135" s="1">
        <v>0.21</v>
      </c>
      <c r="BO135" s="1">
        <v>-1</v>
      </c>
      <c r="BP135" s="1">
        <v>1.27</v>
      </c>
      <c r="BQ135" s="1">
        <v>2.87</v>
      </c>
      <c r="BR135" s="1">
        <v>13.27</v>
      </c>
    </row>
    <row r="136" spans="1:70" x14ac:dyDescent="0.55000000000000004">
      <c r="A136" s="1">
        <v>12876</v>
      </c>
      <c r="B136" s="1">
        <v>47.846899999999998</v>
      </c>
      <c r="C136" s="1">
        <v>-4.2443</v>
      </c>
      <c r="D136" s="1" t="s">
        <v>71</v>
      </c>
      <c r="E136" s="1" t="s">
        <v>74</v>
      </c>
      <c r="F136" s="1">
        <v>3</v>
      </c>
      <c r="G136" s="1">
        <v>10.96</v>
      </c>
      <c r="H136" s="1">
        <v>8.14</v>
      </c>
      <c r="I136" s="1">
        <v>13.79</v>
      </c>
      <c r="J136" s="1">
        <v>0</v>
      </c>
      <c r="K136" s="1">
        <v>0</v>
      </c>
      <c r="L136" s="1">
        <v>5</v>
      </c>
      <c r="M136" s="1">
        <v>7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1</v>
      </c>
      <c r="T136" s="1">
        <v>5.65</v>
      </c>
      <c r="U136" s="1">
        <v>17.149999999999999</v>
      </c>
      <c r="V136" s="1">
        <v>10.38</v>
      </c>
      <c r="W136" s="1">
        <v>3.84</v>
      </c>
      <c r="X136" s="1">
        <v>12.14</v>
      </c>
      <c r="Y136" s="1">
        <v>187.84</v>
      </c>
      <c r="Z136" s="1">
        <v>0.27</v>
      </c>
      <c r="AA136" s="1">
        <v>3.16</v>
      </c>
      <c r="AB136" s="1">
        <v>98.01</v>
      </c>
      <c r="AC136" s="1">
        <v>13.43</v>
      </c>
      <c r="AD136" s="1">
        <v>0</v>
      </c>
      <c r="AE136" s="1">
        <v>58.61</v>
      </c>
      <c r="AF136" s="1">
        <v>5</v>
      </c>
      <c r="AG136" s="1">
        <v>8</v>
      </c>
      <c r="AH136" s="1">
        <v>0.03</v>
      </c>
      <c r="AI136" s="1">
        <v>7.09</v>
      </c>
      <c r="AJ136" s="1">
        <v>6.81</v>
      </c>
      <c r="AK136" s="1">
        <v>45.92</v>
      </c>
      <c r="AL136" s="1">
        <v>2.2200000000000002</v>
      </c>
      <c r="AM136" s="1">
        <v>2.1800000000000002</v>
      </c>
      <c r="AN136" s="1">
        <v>2.2799999999999998</v>
      </c>
      <c r="AO136" s="1">
        <v>0</v>
      </c>
      <c r="AP136" s="1">
        <v>0</v>
      </c>
      <c r="AQ136" s="1">
        <v>4</v>
      </c>
      <c r="AR136" s="1">
        <v>6</v>
      </c>
      <c r="AS136" s="1">
        <v>0</v>
      </c>
      <c r="AT136" s="1">
        <v>0</v>
      </c>
      <c r="AU136" s="1">
        <v>-1</v>
      </c>
      <c r="AV136" s="1">
        <v>0</v>
      </c>
      <c r="AW136" s="1">
        <v>0</v>
      </c>
      <c r="AX136" s="1">
        <v>1</v>
      </c>
      <c r="AY136" s="1">
        <v>0.1</v>
      </c>
      <c r="AZ136" s="1">
        <v>2.5</v>
      </c>
      <c r="BA136" s="1">
        <v>2.36</v>
      </c>
      <c r="BB136" s="1">
        <v>1.96</v>
      </c>
      <c r="BC136" s="1">
        <v>2.54</v>
      </c>
      <c r="BD136" s="1">
        <v>-68.37</v>
      </c>
      <c r="BE136" s="1">
        <v>0.27</v>
      </c>
      <c r="BF136" s="1">
        <v>0.54</v>
      </c>
      <c r="BG136" s="1">
        <v>16.829999999999998</v>
      </c>
      <c r="BH136" s="1">
        <v>0.33</v>
      </c>
      <c r="BI136" s="1">
        <v>0</v>
      </c>
      <c r="BJ136" s="1">
        <v>12.39</v>
      </c>
      <c r="BK136" s="1">
        <v>0</v>
      </c>
      <c r="BL136" s="1">
        <v>-1</v>
      </c>
      <c r="BM136" s="1">
        <v>1.36</v>
      </c>
      <c r="BN136" s="1">
        <v>-0.16</v>
      </c>
      <c r="BO136" s="1">
        <v>0.63</v>
      </c>
      <c r="BP136" s="1">
        <v>0.83</v>
      </c>
      <c r="BQ136" s="1">
        <v>5.95</v>
      </c>
      <c r="BR136" s="1">
        <v>14.88</v>
      </c>
    </row>
    <row r="137" spans="1:70" x14ac:dyDescent="0.55000000000000004">
      <c r="A137" s="1">
        <v>12876</v>
      </c>
      <c r="B137" s="1">
        <v>47.846899999999998</v>
      </c>
      <c r="C137" s="1">
        <v>-4.2443</v>
      </c>
      <c r="D137" s="1" t="s">
        <v>71</v>
      </c>
      <c r="E137" s="1" t="s">
        <v>74</v>
      </c>
      <c r="F137" s="1">
        <v>4</v>
      </c>
      <c r="G137" s="1">
        <v>13.44</v>
      </c>
      <c r="H137" s="1">
        <v>10.38</v>
      </c>
      <c r="I137" s="1">
        <v>16.510000000000002</v>
      </c>
      <c r="J137" s="1">
        <v>0</v>
      </c>
      <c r="K137" s="1">
        <v>0</v>
      </c>
      <c r="L137" s="1">
        <v>6</v>
      </c>
      <c r="M137" s="1">
        <v>8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2</v>
      </c>
      <c r="T137" s="1">
        <v>6.13</v>
      </c>
      <c r="U137" s="1">
        <v>20.62</v>
      </c>
      <c r="V137" s="1">
        <v>12.85</v>
      </c>
      <c r="W137" s="1">
        <v>7.09</v>
      </c>
      <c r="X137" s="1">
        <v>13.45</v>
      </c>
      <c r="Y137" s="1">
        <v>112.48</v>
      </c>
      <c r="Z137" s="1">
        <v>3.5</v>
      </c>
      <c r="AA137" s="1">
        <v>2.39</v>
      </c>
      <c r="AB137" s="1">
        <v>71.84</v>
      </c>
      <c r="AC137" s="1">
        <v>11.23</v>
      </c>
      <c r="AD137" s="1">
        <v>0</v>
      </c>
      <c r="AE137" s="1">
        <v>50.49</v>
      </c>
      <c r="AF137" s="1">
        <v>4</v>
      </c>
      <c r="AG137" s="1">
        <v>9</v>
      </c>
      <c r="AH137" s="1">
        <v>0.1</v>
      </c>
      <c r="AI137" s="1">
        <v>6.6</v>
      </c>
      <c r="AJ137" s="1">
        <v>7.68</v>
      </c>
      <c r="AK137" s="1">
        <v>68.239999999999995</v>
      </c>
      <c r="AL137" s="1">
        <v>3.12</v>
      </c>
      <c r="AM137" s="1">
        <v>3.2</v>
      </c>
      <c r="AN137" s="1">
        <v>3.05</v>
      </c>
      <c r="AO137" s="1">
        <v>0</v>
      </c>
      <c r="AP137" s="1">
        <v>0</v>
      </c>
      <c r="AQ137" s="1">
        <v>4</v>
      </c>
      <c r="AR137" s="1">
        <v>8</v>
      </c>
      <c r="AS137" s="1">
        <v>0</v>
      </c>
      <c r="AT137" s="1">
        <v>0</v>
      </c>
      <c r="AU137" s="1">
        <v>-1</v>
      </c>
      <c r="AV137" s="1">
        <v>0</v>
      </c>
      <c r="AW137" s="1">
        <v>0</v>
      </c>
      <c r="AX137" s="1">
        <v>2</v>
      </c>
      <c r="AY137" s="1">
        <v>-0.15</v>
      </c>
      <c r="AZ137" s="1">
        <v>3.38</v>
      </c>
      <c r="BA137" s="1">
        <v>2.91</v>
      </c>
      <c r="BB137" s="1">
        <v>3.88</v>
      </c>
      <c r="BC137" s="1">
        <v>2.88</v>
      </c>
      <c r="BD137" s="1">
        <v>-88.77</v>
      </c>
      <c r="BE137" s="1">
        <v>2.96</v>
      </c>
      <c r="BF137" s="1">
        <v>-0.15</v>
      </c>
      <c r="BG137" s="1">
        <v>-4.43</v>
      </c>
      <c r="BH137" s="1">
        <v>-0.8</v>
      </c>
      <c r="BI137" s="1">
        <v>0</v>
      </c>
      <c r="BJ137" s="1">
        <v>4.0199999999999996</v>
      </c>
      <c r="BK137" s="1">
        <v>-1</v>
      </c>
      <c r="BL137" s="1">
        <v>1</v>
      </c>
      <c r="BM137" s="1">
        <v>0.77</v>
      </c>
      <c r="BN137" s="1">
        <v>-0.06</v>
      </c>
      <c r="BO137" s="1">
        <v>0.43</v>
      </c>
      <c r="BP137" s="1">
        <v>1.26</v>
      </c>
      <c r="BQ137" s="1">
        <v>9.66</v>
      </c>
      <c r="BR137" s="1">
        <v>16.489999999999998</v>
      </c>
    </row>
    <row r="138" spans="1:70" x14ac:dyDescent="0.55000000000000004">
      <c r="A138" s="1">
        <v>12876</v>
      </c>
      <c r="B138" s="1">
        <v>47.846899999999998</v>
      </c>
      <c r="C138" s="1">
        <v>-4.2443</v>
      </c>
      <c r="D138" s="1" t="s">
        <v>71</v>
      </c>
      <c r="E138" s="1" t="s">
        <v>74</v>
      </c>
      <c r="F138" s="1">
        <v>5</v>
      </c>
      <c r="G138" s="1">
        <v>16.93</v>
      </c>
      <c r="H138" s="1">
        <v>13.7</v>
      </c>
      <c r="I138" s="1">
        <v>20.149999999999999</v>
      </c>
      <c r="J138" s="1">
        <v>4</v>
      </c>
      <c r="K138" s="1">
        <v>0.03</v>
      </c>
      <c r="L138" s="1">
        <v>9</v>
      </c>
      <c r="M138" s="1">
        <v>9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5</v>
      </c>
      <c r="T138" s="1">
        <v>6.45</v>
      </c>
      <c r="U138" s="1">
        <v>24.93</v>
      </c>
      <c r="V138" s="1">
        <v>16.03</v>
      </c>
      <c r="W138" s="1">
        <v>10.28</v>
      </c>
      <c r="X138" s="1">
        <v>16.72</v>
      </c>
      <c r="Y138" s="1">
        <v>41.05</v>
      </c>
      <c r="Z138" s="1">
        <v>27.31</v>
      </c>
      <c r="AA138" s="1">
        <v>1.93</v>
      </c>
      <c r="AB138" s="1">
        <v>59.86</v>
      </c>
      <c r="AC138" s="1">
        <v>9.3000000000000007</v>
      </c>
      <c r="AD138" s="1">
        <v>0</v>
      </c>
      <c r="AE138" s="1">
        <v>40.74</v>
      </c>
      <c r="AF138" s="1">
        <v>3</v>
      </c>
      <c r="AG138" s="1">
        <v>10</v>
      </c>
      <c r="AH138" s="1">
        <v>0.17</v>
      </c>
      <c r="AI138" s="1">
        <v>6.14</v>
      </c>
      <c r="AJ138" s="1">
        <v>9.09</v>
      </c>
      <c r="AK138" s="1">
        <v>98.97</v>
      </c>
      <c r="AL138" s="1">
        <v>3.62</v>
      </c>
      <c r="AM138" s="1">
        <v>3.63</v>
      </c>
      <c r="AN138" s="1">
        <v>3.6</v>
      </c>
      <c r="AO138" s="1">
        <v>3</v>
      </c>
      <c r="AP138" s="1">
        <v>0.03</v>
      </c>
      <c r="AQ138" s="1">
        <v>6</v>
      </c>
      <c r="AR138" s="1">
        <v>9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5</v>
      </c>
      <c r="AY138" s="1">
        <v>-0.03</v>
      </c>
      <c r="AZ138" s="1">
        <v>4.45</v>
      </c>
      <c r="BA138" s="1">
        <v>3.02</v>
      </c>
      <c r="BB138" s="1">
        <v>3.53</v>
      </c>
      <c r="BC138" s="1">
        <v>3.76</v>
      </c>
      <c r="BD138" s="1">
        <v>-78.11</v>
      </c>
      <c r="BE138" s="1">
        <v>24.81</v>
      </c>
      <c r="BF138" s="1">
        <v>-0.03</v>
      </c>
      <c r="BG138" s="1">
        <v>-0.99</v>
      </c>
      <c r="BH138" s="1">
        <v>-0.87</v>
      </c>
      <c r="BI138" s="1">
        <v>0</v>
      </c>
      <c r="BJ138" s="1">
        <v>-2.34</v>
      </c>
      <c r="BK138" s="1">
        <v>0</v>
      </c>
      <c r="BL138" s="1">
        <v>1</v>
      </c>
      <c r="BM138" s="1">
        <v>0.66</v>
      </c>
      <c r="BN138" s="1">
        <v>-0.23</v>
      </c>
      <c r="BO138" s="1">
        <v>1.5</v>
      </c>
      <c r="BP138" s="1">
        <v>1.53</v>
      </c>
      <c r="BQ138" s="1">
        <v>15.57</v>
      </c>
      <c r="BR138" s="1">
        <v>18.66</v>
      </c>
    </row>
    <row r="139" spans="1:70" x14ac:dyDescent="0.55000000000000004">
      <c r="A139" s="1">
        <v>12876</v>
      </c>
      <c r="B139" s="1">
        <v>47.846899999999998</v>
      </c>
      <c r="C139" s="1">
        <v>-4.2443</v>
      </c>
      <c r="D139" s="1" t="s">
        <v>71</v>
      </c>
      <c r="E139" s="1" t="s">
        <v>74</v>
      </c>
      <c r="F139" s="1">
        <v>6</v>
      </c>
      <c r="G139" s="1">
        <v>18.18</v>
      </c>
      <c r="H139" s="1">
        <v>14.87</v>
      </c>
      <c r="I139" s="1">
        <v>21.49</v>
      </c>
      <c r="J139" s="1">
        <v>4</v>
      </c>
      <c r="K139" s="1">
        <v>0</v>
      </c>
      <c r="L139" s="1">
        <v>6</v>
      </c>
      <c r="M139" s="1">
        <v>3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2</v>
      </c>
      <c r="T139" s="1">
        <v>6.63</v>
      </c>
      <c r="U139" s="1">
        <v>25.35</v>
      </c>
      <c r="V139" s="1">
        <v>17.98</v>
      </c>
      <c r="W139" s="1">
        <v>12.27</v>
      </c>
      <c r="X139" s="1">
        <v>17.350000000000001</v>
      </c>
      <c r="Y139" s="1">
        <v>13.71</v>
      </c>
      <c r="Z139" s="1">
        <v>32.14</v>
      </c>
      <c r="AA139" s="1">
        <v>1.63</v>
      </c>
      <c r="AB139" s="1">
        <v>48.85</v>
      </c>
      <c r="AC139" s="1">
        <v>6.93</v>
      </c>
      <c r="AD139" s="1">
        <v>0</v>
      </c>
      <c r="AE139" s="1">
        <v>46.38</v>
      </c>
      <c r="AF139" s="1">
        <v>3</v>
      </c>
      <c r="AG139" s="1">
        <v>12</v>
      </c>
      <c r="AH139" s="1">
        <v>0.1</v>
      </c>
      <c r="AI139" s="1">
        <v>6.42</v>
      </c>
      <c r="AJ139" s="1">
        <v>10.52</v>
      </c>
      <c r="AK139" s="1">
        <v>99.39</v>
      </c>
      <c r="AL139" s="1">
        <v>2.72</v>
      </c>
      <c r="AM139" s="1">
        <v>2.69</v>
      </c>
      <c r="AN139" s="1">
        <v>2.76</v>
      </c>
      <c r="AO139" s="1">
        <v>2</v>
      </c>
      <c r="AP139" s="1">
        <v>0</v>
      </c>
      <c r="AQ139" s="1">
        <v>3</v>
      </c>
      <c r="AR139" s="1">
        <v>3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2</v>
      </c>
      <c r="AY139" s="1">
        <v>0.08</v>
      </c>
      <c r="AZ139" s="1">
        <v>2.2200000000000002</v>
      </c>
      <c r="BA139" s="1">
        <v>2.5499999999999998</v>
      </c>
      <c r="BB139" s="1">
        <v>2.4300000000000002</v>
      </c>
      <c r="BC139" s="1">
        <v>2.81</v>
      </c>
      <c r="BD139" s="1">
        <v>-47.35</v>
      </c>
      <c r="BE139" s="1">
        <v>22.9</v>
      </c>
      <c r="BF139" s="1">
        <v>-0.09</v>
      </c>
      <c r="BG139" s="1">
        <v>-2.75</v>
      </c>
      <c r="BH139" s="1">
        <v>-1.37</v>
      </c>
      <c r="BI139" s="1">
        <v>0</v>
      </c>
      <c r="BJ139" s="1">
        <v>4.62</v>
      </c>
      <c r="BK139" s="1">
        <v>0</v>
      </c>
      <c r="BL139" s="1">
        <v>3</v>
      </c>
      <c r="BM139" s="1">
        <v>0.79</v>
      </c>
      <c r="BN139" s="1">
        <v>0.04</v>
      </c>
      <c r="BO139" s="1">
        <v>0</v>
      </c>
      <c r="BP139" s="1">
        <v>1.4</v>
      </c>
      <c r="BQ139" s="1">
        <v>11.24</v>
      </c>
      <c r="BR139" s="1">
        <v>12.75</v>
      </c>
    </row>
    <row r="140" spans="1:70" x14ac:dyDescent="0.55000000000000004">
      <c r="A140" s="1">
        <v>12876</v>
      </c>
      <c r="B140" s="1">
        <v>47.846899999999998</v>
      </c>
      <c r="C140" s="1">
        <v>-4.2443</v>
      </c>
      <c r="D140" s="1" t="s">
        <v>71</v>
      </c>
      <c r="E140" s="1" t="s">
        <v>74</v>
      </c>
      <c r="F140" s="1">
        <v>7</v>
      </c>
      <c r="G140" s="1">
        <v>20.8</v>
      </c>
      <c r="H140" s="1">
        <v>17.559999999999999</v>
      </c>
      <c r="I140" s="1">
        <v>24.04</v>
      </c>
      <c r="J140" s="1">
        <v>8</v>
      </c>
      <c r="K140" s="1">
        <v>0.43</v>
      </c>
      <c r="L140" s="1">
        <v>5</v>
      </c>
      <c r="M140" s="1">
        <v>4</v>
      </c>
      <c r="N140" s="1">
        <v>4</v>
      </c>
      <c r="O140" s="1">
        <v>0</v>
      </c>
      <c r="P140" s="1">
        <v>0</v>
      </c>
      <c r="Q140" s="1">
        <v>0</v>
      </c>
      <c r="R140" s="1">
        <v>0</v>
      </c>
      <c r="S140" s="1">
        <v>1</v>
      </c>
      <c r="T140" s="1">
        <v>6.48</v>
      </c>
      <c r="U140" s="1">
        <v>27.33</v>
      </c>
      <c r="V140" s="1">
        <v>20.96</v>
      </c>
      <c r="W140" s="1">
        <v>15.01</v>
      </c>
      <c r="X140" s="1">
        <v>19.72</v>
      </c>
      <c r="Y140" s="1">
        <v>1.2</v>
      </c>
      <c r="Z140" s="1">
        <v>90.12</v>
      </c>
      <c r="AA140" s="1">
        <v>1.37</v>
      </c>
      <c r="AB140" s="1">
        <v>42.58</v>
      </c>
      <c r="AC140" s="1">
        <v>6.43</v>
      </c>
      <c r="AD140" s="1">
        <v>0</v>
      </c>
      <c r="AE140" s="1">
        <v>42.29</v>
      </c>
      <c r="AF140" s="1">
        <v>2</v>
      </c>
      <c r="AG140" s="1">
        <v>12</v>
      </c>
      <c r="AH140" s="1">
        <v>0.24</v>
      </c>
      <c r="AI140" s="1">
        <v>5.6</v>
      </c>
      <c r="AJ140" s="1">
        <v>12.23</v>
      </c>
      <c r="AK140" s="1">
        <v>106.68</v>
      </c>
      <c r="AL140" s="1">
        <v>2.63</v>
      </c>
      <c r="AM140" s="1">
        <v>2.78</v>
      </c>
      <c r="AN140" s="1">
        <v>2.4900000000000002</v>
      </c>
      <c r="AO140" s="1">
        <v>4</v>
      </c>
      <c r="AP140" s="1">
        <v>0.4</v>
      </c>
      <c r="AQ140" s="1">
        <v>3</v>
      </c>
      <c r="AR140" s="1">
        <v>4</v>
      </c>
      <c r="AS140" s="1">
        <v>4</v>
      </c>
      <c r="AT140" s="1">
        <v>0</v>
      </c>
      <c r="AU140" s="1">
        <v>0</v>
      </c>
      <c r="AV140" s="1">
        <v>0</v>
      </c>
      <c r="AW140" s="1">
        <v>0</v>
      </c>
      <c r="AX140" s="1">
        <v>1</v>
      </c>
      <c r="AY140" s="1">
        <v>-0.28999999999999998</v>
      </c>
      <c r="AZ140" s="1">
        <v>1.91</v>
      </c>
      <c r="BA140" s="1">
        <v>2.85</v>
      </c>
      <c r="BB140" s="1">
        <v>2.5</v>
      </c>
      <c r="BC140" s="1">
        <v>2.87</v>
      </c>
      <c r="BD140" s="1">
        <v>-11.55</v>
      </c>
      <c r="BE140" s="1">
        <v>58.45</v>
      </c>
      <c r="BF140" s="1">
        <v>-0.2</v>
      </c>
      <c r="BG140" s="1">
        <v>-6.03</v>
      </c>
      <c r="BH140" s="1">
        <v>-1.44</v>
      </c>
      <c r="BI140" s="1">
        <v>0</v>
      </c>
      <c r="BJ140" s="1">
        <v>-7.2</v>
      </c>
      <c r="BK140" s="1">
        <v>0</v>
      </c>
      <c r="BL140" s="1">
        <v>1</v>
      </c>
      <c r="BM140" s="1">
        <v>-0.17</v>
      </c>
      <c r="BN140" s="1">
        <v>-0.12</v>
      </c>
      <c r="BO140" s="1">
        <v>0.9</v>
      </c>
      <c r="BP140" s="1">
        <v>1.76</v>
      </c>
      <c r="BQ140" s="1">
        <v>7.17</v>
      </c>
      <c r="BR140" s="1">
        <v>7.21</v>
      </c>
    </row>
    <row r="141" spans="1:70" x14ac:dyDescent="0.55000000000000004">
      <c r="A141" s="1">
        <v>12876</v>
      </c>
      <c r="B141" s="1">
        <v>47.846899999999998</v>
      </c>
      <c r="C141" s="1">
        <v>-4.2443</v>
      </c>
      <c r="D141" s="1" t="s">
        <v>71</v>
      </c>
      <c r="E141" s="1" t="s">
        <v>74</v>
      </c>
      <c r="F141" s="1">
        <v>8</v>
      </c>
      <c r="G141" s="1">
        <v>21.61</v>
      </c>
      <c r="H141" s="1">
        <v>18.57</v>
      </c>
      <c r="I141" s="1">
        <v>24.65</v>
      </c>
      <c r="J141" s="1">
        <v>10</v>
      </c>
      <c r="K141" s="1">
        <v>0.37</v>
      </c>
      <c r="L141" s="1">
        <v>5</v>
      </c>
      <c r="M141" s="1">
        <v>8</v>
      </c>
      <c r="N141" s="1">
        <v>8</v>
      </c>
      <c r="O141" s="1">
        <v>0</v>
      </c>
      <c r="P141" s="1">
        <v>0</v>
      </c>
      <c r="Q141" s="1">
        <v>0</v>
      </c>
      <c r="R141" s="1">
        <v>0</v>
      </c>
      <c r="S141" s="1">
        <v>2</v>
      </c>
      <c r="T141" s="1">
        <v>6.08</v>
      </c>
      <c r="U141" s="1">
        <v>27.58</v>
      </c>
      <c r="V141" s="1">
        <v>22.2</v>
      </c>
      <c r="W141" s="1">
        <v>15.89</v>
      </c>
      <c r="X141" s="1">
        <v>20.84</v>
      </c>
      <c r="Y141" s="1">
        <v>0.01</v>
      </c>
      <c r="Z141" s="1">
        <v>112.25</v>
      </c>
      <c r="AA141" s="1">
        <v>1.48</v>
      </c>
      <c r="AB141" s="1">
        <v>45.93</v>
      </c>
      <c r="AC141" s="1">
        <v>6.53</v>
      </c>
      <c r="AD141" s="1">
        <v>0</v>
      </c>
      <c r="AE141" s="1">
        <v>44.47</v>
      </c>
      <c r="AF141" s="1">
        <v>2</v>
      </c>
      <c r="AG141" s="1">
        <v>14</v>
      </c>
      <c r="AH141" s="1">
        <v>0.21</v>
      </c>
      <c r="AI141" s="1">
        <v>6.3</v>
      </c>
      <c r="AJ141" s="1">
        <v>12.91</v>
      </c>
      <c r="AK141" s="1">
        <v>92.83</v>
      </c>
      <c r="AL141" s="1">
        <v>3.31</v>
      </c>
      <c r="AM141" s="1">
        <v>3.69</v>
      </c>
      <c r="AN141" s="1">
        <v>2.93</v>
      </c>
      <c r="AO141" s="1">
        <v>6</v>
      </c>
      <c r="AP141" s="1">
        <v>0.37</v>
      </c>
      <c r="AQ141" s="1">
        <v>3</v>
      </c>
      <c r="AR141" s="1">
        <v>8</v>
      </c>
      <c r="AS141" s="1">
        <v>8</v>
      </c>
      <c r="AT141" s="1">
        <v>0</v>
      </c>
      <c r="AU141" s="1">
        <v>0</v>
      </c>
      <c r="AV141" s="1">
        <v>0</v>
      </c>
      <c r="AW141" s="1">
        <v>0</v>
      </c>
      <c r="AX141" s="1">
        <v>2</v>
      </c>
      <c r="AY141" s="1">
        <v>-0.76</v>
      </c>
      <c r="AZ141" s="1">
        <v>2.63</v>
      </c>
      <c r="BA141" s="1">
        <v>3.47</v>
      </c>
      <c r="BB141" s="1">
        <v>3.36</v>
      </c>
      <c r="BC141" s="1">
        <v>3.98</v>
      </c>
      <c r="BD141" s="1">
        <v>-9.5</v>
      </c>
      <c r="BE141" s="1">
        <v>81.03</v>
      </c>
      <c r="BF141" s="1">
        <v>-0.05</v>
      </c>
      <c r="BG141" s="1">
        <v>-1.57</v>
      </c>
      <c r="BH141" s="1">
        <v>-1.47</v>
      </c>
      <c r="BI141" s="1">
        <v>0</v>
      </c>
      <c r="BJ141" s="1">
        <v>8.07</v>
      </c>
      <c r="BK141" s="1">
        <v>-1</v>
      </c>
      <c r="BL141" s="1">
        <v>1</v>
      </c>
      <c r="BM141" s="1">
        <v>0.85</v>
      </c>
      <c r="BN141" s="1">
        <v>-0.2</v>
      </c>
      <c r="BO141" s="1">
        <v>1.6</v>
      </c>
      <c r="BP141" s="1">
        <v>2.2200000000000002</v>
      </c>
      <c r="BQ141" s="1">
        <v>6.88</v>
      </c>
      <c r="BR141" s="1">
        <v>8</v>
      </c>
    </row>
    <row r="142" spans="1:70" x14ac:dyDescent="0.55000000000000004">
      <c r="A142" s="1">
        <v>12876</v>
      </c>
      <c r="B142" s="1">
        <v>47.846899999999998</v>
      </c>
      <c r="C142" s="1">
        <v>-4.2443</v>
      </c>
      <c r="D142" s="1" t="s">
        <v>71</v>
      </c>
      <c r="E142" s="1" t="s">
        <v>74</v>
      </c>
      <c r="F142" s="1">
        <v>9</v>
      </c>
      <c r="G142" s="1">
        <v>20</v>
      </c>
      <c r="H142" s="1">
        <v>16.559999999999999</v>
      </c>
      <c r="I142" s="1">
        <v>23.44</v>
      </c>
      <c r="J142" s="1">
        <v>7</v>
      </c>
      <c r="K142" s="1">
        <v>0</v>
      </c>
      <c r="L142" s="1">
        <v>9</v>
      </c>
      <c r="M142" s="1">
        <v>9</v>
      </c>
      <c r="N142" s="1">
        <v>2</v>
      </c>
      <c r="O142" s="1">
        <v>0</v>
      </c>
      <c r="P142" s="1">
        <v>0</v>
      </c>
      <c r="Q142" s="1">
        <v>0</v>
      </c>
      <c r="R142" s="1">
        <v>0</v>
      </c>
      <c r="S142" s="1">
        <v>4</v>
      </c>
      <c r="T142" s="1">
        <v>6.88</v>
      </c>
      <c r="U142" s="1">
        <v>26.01</v>
      </c>
      <c r="V142" s="1">
        <v>20.67</v>
      </c>
      <c r="W142" s="1">
        <v>13.7</v>
      </c>
      <c r="X142" s="1">
        <v>19.13</v>
      </c>
      <c r="Y142" s="1">
        <v>1.87</v>
      </c>
      <c r="Z142" s="1">
        <v>65.540000000000006</v>
      </c>
      <c r="AA142" s="1">
        <v>2.36</v>
      </c>
      <c r="AB142" s="1">
        <v>70.7</v>
      </c>
      <c r="AC142" s="1">
        <v>8.43</v>
      </c>
      <c r="AD142" s="1">
        <v>0</v>
      </c>
      <c r="AE142" s="1">
        <v>50.21</v>
      </c>
      <c r="AF142" s="1">
        <v>3</v>
      </c>
      <c r="AG142" s="1">
        <v>12</v>
      </c>
      <c r="AH142" s="1">
        <v>0.21</v>
      </c>
      <c r="AI142" s="1">
        <v>7.55</v>
      </c>
      <c r="AJ142" s="1">
        <v>11.62</v>
      </c>
      <c r="AK142" s="1">
        <v>71.760000000000005</v>
      </c>
      <c r="AL142" s="1">
        <v>3.82</v>
      </c>
      <c r="AM142" s="1">
        <v>3.79</v>
      </c>
      <c r="AN142" s="1">
        <v>3.85</v>
      </c>
      <c r="AO142" s="1">
        <v>5</v>
      </c>
      <c r="AP142" s="1">
        <v>0</v>
      </c>
      <c r="AQ142" s="1">
        <v>8</v>
      </c>
      <c r="AR142" s="1">
        <v>9</v>
      </c>
      <c r="AS142" s="1">
        <v>2</v>
      </c>
      <c r="AT142" s="1">
        <v>0</v>
      </c>
      <c r="AU142" s="1">
        <v>0</v>
      </c>
      <c r="AV142" s="1">
        <v>0</v>
      </c>
      <c r="AW142" s="1">
        <v>0</v>
      </c>
      <c r="AX142" s="1">
        <v>4</v>
      </c>
      <c r="AY142" s="1">
        <v>0.06</v>
      </c>
      <c r="AZ142" s="1">
        <v>3.18</v>
      </c>
      <c r="BA142" s="1">
        <v>4.05</v>
      </c>
      <c r="BB142" s="1">
        <v>3.95</v>
      </c>
      <c r="BC142" s="1">
        <v>3.95</v>
      </c>
      <c r="BD142" s="1">
        <v>-39.979999999999997</v>
      </c>
      <c r="BE142" s="1">
        <v>55.83</v>
      </c>
      <c r="BF142" s="1">
        <v>-0.09</v>
      </c>
      <c r="BG142" s="1">
        <v>-2.82</v>
      </c>
      <c r="BH142" s="1">
        <v>-1.9</v>
      </c>
      <c r="BI142" s="1">
        <v>0</v>
      </c>
      <c r="BJ142" s="1">
        <v>-0.56000000000000005</v>
      </c>
      <c r="BK142" s="1">
        <v>-1</v>
      </c>
      <c r="BL142" s="1">
        <v>2</v>
      </c>
      <c r="BM142" s="1">
        <v>0.88</v>
      </c>
      <c r="BN142" s="1">
        <v>-0.14000000000000001</v>
      </c>
      <c r="BO142" s="1">
        <v>0.84</v>
      </c>
      <c r="BP142" s="1">
        <v>2.23</v>
      </c>
      <c r="BQ142" s="1">
        <v>11.16</v>
      </c>
      <c r="BR142" s="1">
        <v>18.41</v>
      </c>
    </row>
    <row r="143" spans="1:70" x14ac:dyDescent="0.55000000000000004">
      <c r="A143" s="1">
        <v>12876</v>
      </c>
      <c r="B143" s="1">
        <v>47.846899999999998</v>
      </c>
      <c r="C143" s="1">
        <v>-4.2443</v>
      </c>
      <c r="D143" s="1" t="s">
        <v>71</v>
      </c>
      <c r="E143" s="1" t="s">
        <v>74</v>
      </c>
      <c r="F143" s="1">
        <v>10</v>
      </c>
      <c r="G143" s="1">
        <v>16.37</v>
      </c>
      <c r="H143" s="1">
        <v>13.34</v>
      </c>
      <c r="I143" s="1">
        <v>19.399999999999999</v>
      </c>
      <c r="J143" s="1">
        <v>0</v>
      </c>
      <c r="K143" s="1">
        <v>0</v>
      </c>
      <c r="L143" s="1">
        <v>8</v>
      </c>
      <c r="M143" s="1">
        <v>8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3</v>
      </c>
      <c r="T143" s="1">
        <v>6.07</v>
      </c>
      <c r="U143" s="1">
        <v>22.09</v>
      </c>
      <c r="V143" s="1">
        <v>16.25</v>
      </c>
      <c r="W143" s="1">
        <v>9.66</v>
      </c>
      <c r="X143" s="1">
        <v>16.3</v>
      </c>
      <c r="Y143" s="1">
        <v>40.83</v>
      </c>
      <c r="Z143" s="1">
        <v>10.78</v>
      </c>
      <c r="AA143" s="1">
        <v>2.95</v>
      </c>
      <c r="AB143" s="1">
        <v>91.35</v>
      </c>
      <c r="AC143" s="1">
        <v>10.97</v>
      </c>
      <c r="AD143" s="1">
        <v>0</v>
      </c>
      <c r="AE143" s="1">
        <v>64.2</v>
      </c>
      <c r="AF143" s="1">
        <v>4</v>
      </c>
      <c r="AG143" s="1">
        <v>9</v>
      </c>
      <c r="AH143" s="1">
        <v>0.1</v>
      </c>
      <c r="AI143" s="1">
        <v>8.3000000000000007</v>
      </c>
      <c r="AJ143" s="1">
        <v>9.9</v>
      </c>
      <c r="AK143" s="1">
        <v>41.52</v>
      </c>
      <c r="AL143" s="1">
        <v>3.37</v>
      </c>
      <c r="AM143" s="1">
        <v>3.2</v>
      </c>
      <c r="AN143" s="1">
        <v>3.53</v>
      </c>
      <c r="AO143" s="1">
        <v>0</v>
      </c>
      <c r="AP143" s="1">
        <v>0</v>
      </c>
      <c r="AQ143" s="1">
        <v>8</v>
      </c>
      <c r="AR143" s="1">
        <v>8</v>
      </c>
      <c r="AS143" s="1">
        <v>0</v>
      </c>
      <c r="AT143" s="1">
        <v>0</v>
      </c>
      <c r="AU143" s="1">
        <v>0</v>
      </c>
      <c r="AV143" s="1">
        <v>0</v>
      </c>
      <c r="AW143" s="1">
        <v>0</v>
      </c>
      <c r="AX143" s="1">
        <v>3</v>
      </c>
      <c r="AY143" s="1">
        <v>0.34</v>
      </c>
      <c r="AZ143" s="1">
        <v>3.32</v>
      </c>
      <c r="BA143" s="1">
        <v>3.49</v>
      </c>
      <c r="BB143" s="1">
        <v>3.43</v>
      </c>
      <c r="BC143" s="1">
        <v>2.96</v>
      </c>
      <c r="BD143" s="1">
        <v>-84.46</v>
      </c>
      <c r="BE143" s="1">
        <v>10.46</v>
      </c>
      <c r="BF143" s="1">
        <v>-0.16</v>
      </c>
      <c r="BG143" s="1">
        <v>-5.0999999999999996</v>
      </c>
      <c r="BH143" s="1">
        <v>-2.06</v>
      </c>
      <c r="BI143" s="1">
        <v>0</v>
      </c>
      <c r="BJ143" s="1">
        <v>4.79</v>
      </c>
      <c r="BK143" s="1">
        <v>-1</v>
      </c>
      <c r="BL143" s="1">
        <v>1</v>
      </c>
      <c r="BM143" s="1">
        <v>1.25</v>
      </c>
      <c r="BN143" s="1">
        <v>-0.11</v>
      </c>
      <c r="BO143" s="1">
        <v>0.13</v>
      </c>
      <c r="BP143" s="1">
        <v>1.84</v>
      </c>
      <c r="BQ143" s="1">
        <v>6.43</v>
      </c>
      <c r="BR143" s="1">
        <v>18.309999999999999</v>
      </c>
    </row>
    <row r="144" spans="1:70" x14ac:dyDescent="0.55000000000000004">
      <c r="A144" s="1">
        <v>12876</v>
      </c>
      <c r="B144" s="1">
        <v>47.846899999999998</v>
      </c>
      <c r="C144" s="1">
        <v>-4.2443</v>
      </c>
      <c r="D144" s="1" t="s">
        <v>71</v>
      </c>
      <c r="E144" s="1" t="s">
        <v>74</v>
      </c>
      <c r="F144" s="1">
        <v>11</v>
      </c>
      <c r="G144" s="1">
        <v>13.24</v>
      </c>
      <c r="H144" s="1">
        <v>10.75</v>
      </c>
      <c r="I144" s="1">
        <v>15.72</v>
      </c>
      <c r="J144" s="1">
        <v>0</v>
      </c>
      <c r="K144" s="1">
        <v>0</v>
      </c>
      <c r="L144" s="1">
        <v>8</v>
      </c>
      <c r="M144" s="1">
        <v>11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3</v>
      </c>
      <c r="T144" s="1">
        <v>4.97</v>
      </c>
      <c r="U144" s="1">
        <v>18.600000000000001</v>
      </c>
      <c r="V144" s="1">
        <v>12.31</v>
      </c>
      <c r="W144" s="1">
        <v>6.68</v>
      </c>
      <c r="X144" s="1">
        <v>14.4</v>
      </c>
      <c r="Y144" s="1">
        <v>115.36</v>
      </c>
      <c r="Z144" s="1">
        <v>0.88</v>
      </c>
      <c r="AA144" s="1">
        <v>3.7</v>
      </c>
      <c r="AB144" s="1">
        <v>111.15</v>
      </c>
      <c r="AC144" s="1">
        <v>12.53</v>
      </c>
      <c r="AD144" s="1">
        <v>1</v>
      </c>
      <c r="AE144" s="1">
        <v>65.849999999999994</v>
      </c>
      <c r="AF144" s="1">
        <v>5</v>
      </c>
      <c r="AG144" s="1">
        <v>9</v>
      </c>
      <c r="AH144" s="1">
        <v>0.14000000000000001</v>
      </c>
      <c r="AI144" s="1">
        <v>8.5500000000000007</v>
      </c>
      <c r="AJ144" s="1">
        <v>8.5</v>
      </c>
      <c r="AK144" s="1">
        <v>21.37</v>
      </c>
      <c r="AL144" s="1">
        <v>3.6</v>
      </c>
      <c r="AM144" s="1">
        <v>3.62</v>
      </c>
      <c r="AN144" s="1">
        <v>3.57</v>
      </c>
      <c r="AO144" s="1">
        <v>0</v>
      </c>
      <c r="AP144" s="1">
        <v>0</v>
      </c>
      <c r="AQ144" s="1">
        <v>8</v>
      </c>
      <c r="AR144" s="1">
        <v>10</v>
      </c>
      <c r="AS144" s="1">
        <v>0</v>
      </c>
      <c r="AT144" s="1">
        <v>0</v>
      </c>
      <c r="AU144" s="1">
        <v>-2</v>
      </c>
      <c r="AV144" s="1">
        <v>0</v>
      </c>
      <c r="AW144" s="1">
        <v>0</v>
      </c>
      <c r="AX144" s="1">
        <v>3</v>
      </c>
      <c r="AY144" s="1">
        <v>-0.05</v>
      </c>
      <c r="AZ144" s="1">
        <v>3.42</v>
      </c>
      <c r="BA144" s="1">
        <v>4.18</v>
      </c>
      <c r="BB144" s="1">
        <v>4.28</v>
      </c>
      <c r="BC144" s="1">
        <v>3.48</v>
      </c>
      <c r="BD144" s="1">
        <v>-105.52</v>
      </c>
      <c r="BE144" s="1">
        <v>0.88</v>
      </c>
      <c r="BF144" s="1">
        <v>0.18</v>
      </c>
      <c r="BG144" s="1">
        <v>5.65</v>
      </c>
      <c r="BH144" s="1">
        <v>-1.3</v>
      </c>
      <c r="BI144" s="1">
        <v>1</v>
      </c>
      <c r="BJ144" s="1">
        <v>3.07</v>
      </c>
      <c r="BK144" s="1">
        <v>0</v>
      </c>
      <c r="BL144" s="1">
        <v>2</v>
      </c>
      <c r="BM144" s="1">
        <v>1.27</v>
      </c>
      <c r="BN144" s="1">
        <v>0.05</v>
      </c>
      <c r="BO144" s="1">
        <v>-1.9</v>
      </c>
      <c r="BP144" s="1">
        <v>1.8</v>
      </c>
      <c r="BQ144" s="1">
        <v>2.8</v>
      </c>
      <c r="BR144" s="1">
        <v>15.05</v>
      </c>
    </row>
    <row r="145" spans="1:70" x14ac:dyDescent="0.55000000000000004">
      <c r="A145" s="1">
        <v>12876</v>
      </c>
      <c r="B145" s="1">
        <v>47.846899999999998</v>
      </c>
      <c r="C145" s="1">
        <v>-4.2443</v>
      </c>
      <c r="D145" s="1" t="s">
        <v>71</v>
      </c>
      <c r="E145" s="1" t="s">
        <v>74</v>
      </c>
      <c r="F145" s="1">
        <v>12</v>
      </c>
      <c r="G145" s="1">
        <v>10.58</v>
      </c>
      <c r="H145" s="1">
        <v>8.7100000000000009</v>
      </c>
      <c r="I145" s="1">
        <v>12.46</v>
      </c>
      <c r="J145" s="1">
        <v>0</v>
      </c>
      <c r="K145" s="1">
        <v>0</v>
      </c>
      <c r="L145" s="1">
        <v>5</v>
      </c>
      <c r="M145" s="1">
        <v>10</v>
      </c>
      <c r="N145" s="1">
        <v>0</v>
      </c>
      <c r="O145" s="1">
        <v>0</v>
      </c>
      <c r="P145" s="1">
        <v>1</v>
      </c>
      <c r="Q145" s="1">
        <v>0</v>
      </c>
      <c r="R145" s="1">
        <v>0</v>
      </c>
      <c r="S145" s="1">
        <v>0</v>
      </c>
      <c r="T145" s="1">
        <v>3.75</v>
      </c>
      <c r="U145" s="1">
        <v>15.03</v>
      </c>
      <c r="V145" s="1">
        <v>8.64</v>
      </c>
      <c r="W145" s="1">
        <v>3.47</v>
      </c>
      <c r="X145" s="1">
        <v>12.44</v>
      </c>
      <c r="Y145" s="1">
        <v>198.95</v>
      </c>
      <c r="Z145" s="1">
        <v>0</v>
      </c>
      <c r="AA145" s="1">
        <v>4.2300000000000004</v>
      </c>
      <c r="AB145" s="1">
        <v>131.01</v>
      </c>
      <c r="AC145" s="1">
        <v>14.67</v>
      </c>
      <c r="AD145" s="1">
        <v>1</v>
      </c>
      <c r="AE145" s="1">
        <v>63.22</v>
      </c>
      <c r="AF145" s="1">
        <v>5</v>
      </c>
      <c r="AG145" s="1">
        <v>7</v>
      </c>
      <c r="AH145" s="1">
        <v>0.03</v>
      </c>
      <c r="AI145" s="1">
        <v>8.59</v>
      </c>
      <c r="AJ145" s="1">
        <v>7.22</v>
      </c>
      <c r="AK145" s="1">
        <v>16.47</v>
      </c>
      <c r="AL145" s="1">
        <v>2.75</v>
      </c>
      <c r="AM145" s="1">
        <v>2.84</v>
      </c>
      <c r="AN145" s="1">
        <v>2.67</v>
      </c>
      <c r="AO145" s="1">
        <v>0</v>
      </c>
      <c r="AP145" s="1">
        <v>0</v>
      </c>
      <c r="AQ145" s="1">
        <v>5</v>
      </c>
      <c r="AR145" s="1">
        <v>8</v>
      </c>
      <c r="AS145" s="1">
        <v>0</v>
      </c>
      <c r="AT145" s="1">
        <v>-2</v>
      </c>
      <c r="AU145" s="1">
        <v>-2</v>
      </c>
      <c r="AV145" s="1">
        <v>0</v>
      </c>
      <c r="AW145" s="1">
        <v>0</v>
      </c>
      <c r="AX145" s="1">
        <v>0</v>
      </c>
      <c r="AY145" s="1">
        <v>-0.17</v>
      </c>
      <c r="AZ145" s="1">
        <v>2.4300000000000002</v>
      </c>
      <c r="BA145" s="1">
        <v>3.13</v>
      </c>
      <c r="BB145" s="1">
        <v>2.69</v>
      </c>
      <c r="BC145" s="1">
        <v>2.5</v>
      </c>
      <c r="BD145" s="1">
        <v>-85.33</v>
      </c>
      <c r="BE145" s="1">
        <v>0</v>
      </c>
      <c r="BF145" s="1">
        <v>0.37</v>
      </c>
      <c r="BG145" s="1">
        <v>11.25</v>
      </c>
      <c r="BH145" s="1">
        <v>-0.76</v>
      </c>
      <c r="BI145" s="1">
        <v>1</v>
      </c>
      <c r="BJ145" s="1">
        <v>6.81</v>
      </c>
      <c r="BK145" s="1">
        <v>-1</v>
      </c>
      <c r="BL145" s="1">
        <v>1</v>
      </c>
      <c r="BM145" s="1">
        <v>1.24</v>
      </c>
      <c r="BN145" s="1">
        <v>-0.11</v>
      </c>
      <c r="BO145" s="1">
        <v>0.66</v>
      </c>
      <c r="BP145" s="1">
        <v>1.23</v>
      </c>
      <c r="BQ145" s="1">
        <v>1.2</v>
      </c>
      <c r="BR145" s="1">
        <v>7.84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7B8DF-B6D5-4AF8-9B26-22A5D9431A2F}">
  <dimension ref="A1:G37"/>
  <sheetViews>
    <sheetView workbookViewId="0">
      <selection activeCell="F2" sqref="F2"/>
    </sheetView>
  </sheetViews>
  <sheetFormatPr baseColWidth="10" defaultRowHeight="14.4" x14ac:dyDescent="0.55000000000000004"/>
  <cols>
    <col min="1" max="1" width="9.26171875" bestFit="1" customWidth="1"/>
    <col min="2" max="2" width="5.20703125" bestFit="1" customWidth="1"/>
    <col min="3" max="3" width="7.68359375" bestFit="1" customWidth="1"/>
    <col min="4" max="4" width="9" bestFit="1" customWidth="1"/>
    <col min="5" max="5" width="8.734375" bestFit="1" customWidth="1"/>
    <col min="6" max="6" width="7.05078125" bestFit="1" customWidth="1"/>
    <col min="7" max="7" width="16.5234375" customWidth="1"/>
  </cols>
  <sheetData>
    <row r="1" spans="1:7" x14ac:dyDescent="0.55000000000000004">
      <c r="A1" s="2" t="s">
        <v>0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28</v>
      </c>
      <c r="G1" s="2" t="s">
        <v>1</v>
      </c>
    </row>
    <row r="2" spans="1:7" x14ac:dyDescent="0.55000000000000004">
      <c r="A2" s="1" t="s">
        <v>75</v>
      </c>
      <c r="B2" s="1">
        <v>1</v>
      </c>
      <c r="C2" s="1">
        <v>7.56</v>
      </c>
      <c r="D2" s="1">
        <v>5.5</v>
      </c>
      <c r="E2" s="1">
        <v>9.6199999999999992</v>
      </c>
      <c r="F2" s="1">
        <v>124.02</v>
      </c>
      <c r="G2" s="1" t="str">
        <f>PROPER(TEXT(DATE(2000,B2,1),"mmm"))</f>
        <v>Janv</v>
      </c>
    </row>
    <row r="3" spans="1:7" x14ac:dyDescent="0.55000000000000004">
      <c r="A3" s="1" t="s">
        <v>75</v>
      </c>
      <c r="B3" s="1">
        <v>2</v>
      </c>
      <c r="C3" s="1">
        <v>7.45</v>
      </c>
      <c r="D3" s="1">
        <v>5.0999999999999996</v>
      </c>
      <c r="E3" s="1">
        <v>9.7899999999999991</v>
      </c>
      <c r="F3" s="1">
        <v>100.52</v>
      </c>
      <c r="G3" s="1" t="str">
        <f t="shared" ref="G3:G37" si="0">PROPER(TEXT(DATE(2000,B3,1),"mmm"))</f>
        <v>Févr</v>
      </c>
    </row>
    <row r="4" spans="1:7" x14ac:dyDescent="0.55000000000000004">
      <c r="A4" s="1" t="s">
        <v>75</v>
      </c>
      <c r="B4" s="1">
        <v>3</v>
      </c>
      <c r="C4" s="1">
        <v>9.17</v>
      </c>
      <c r="D4" s="1">
        <v>6.29</v>
      </c>
      <c r="E4" s="1">
        <v>12.05</v>
      </c>
      <c r="F4" s="1">
        <v>99.07</v>
      </c>
      <c r="G4" s="1" t="str">
        <f t="shared" si="0"/>
        <v>Mars</v>
      </c>
    </row>
    <row r="5" spans="1:7" x14ac:dyDescent="0.55000000000000004">
      <c r="A5" s="1" t="s">
        <v>75</v>
      </c>
      <c r="B5" s="1">
        <v>4</v>
      </c>
      <c r="C5" s="1">
        <v>11.33</v>
      </c>
      <c r="D5" s="1">
        <v>8.24</v>
      </c>
      <c r="E5" s="1">
        <v>14.42</v>
      </c>
      <c r="F5" s="1">
        <v>73.83</v>
      </c>
      <c r="G5" s="1" t="str">
        <f t="shared" si="0"/>
        <v>Avr</v>
      </c>
    </row>
    <row r="6" spans="1:7" x14ac:dyDescent="0.55000000000000004">
      <c r="A6" s="1" t="s">
        <v>75</v>
      </c>
      <c r="B6" s="1">
        <v>5</v>
      </c>
      <c r="C6" s="1">
        <v>14.61</v>
      </c>
      <c r="D6" s="1">
        <v>11.33</v>
      </c>
      <c r="E6" s="1">
        <v>17.88</v>
      </c>
      <c r="F6" s="1">
        <v>68.02</v>
      </c>
      <c r="G6" s="1" t="str">
        <f t="shared" si="0"/>
        <v>Mai</v>
      </c>
    </row>
    <row r="7" spans="1:7" x14ac:dyDescent="0.55000000000000004">
      <c r="A7" s="1" t="s">
        <v>75</v>
      </c>
      <c r="B7" s="1">
        <v>6</v>
      </c>
      <c r="C7" s="1">
        <v>15.95</v>
      </c>
      <c r="D7" s="1">
        <v>12.75</v>
      </c>
      <c r="E7" s="1">
        <v>19.14</v>
      </c>
      <c r="F7" s="1">
        <v>58.35</v>
      </c>
      <c r="G7" s="1" t="str">
        <f t="shared" si="0"/>
        <v>Juin</v>
      </c>
    </row>
    <row r="8" spans="1:7" x14ac:dyDescent="0.55000000000000004">
      <c r="A8" s="1" t="s">
        <v>75</v>
      </c>
      <c r="B8" s="1">
        <v>7</v>
      </c>
      <c r="C8" s="1">
        <v>18.690000000000001</v>
      </c>
      <c r="D8" s="1">
        <v>15.4</v>
      </c>
      <c r="E8" s="1">
        <v>21.98</v>
      </c>
      <c r="F8" s="1">
        <v>67.34</v>
      </c>
      <c r="G8" s="1" t="str">
        <f t="shared" si="0"/>
        <v>Juil</v>
      </c>
    </row>
    <row r="9" spans="1:7" x14ac:dyDescent="0.55000000000000004">
      <c r="A9" s="1" t="s">
        <v>75</v>
      </c>
      <c r="B9" s="1">
        <v>8</v>
      </c>
      <c r="C9" s="1">
        <v>18.899999999999999</v>
      </c>
      <c r="D9" s="1">
        <v>15.65</v>
      </c>
      <c r="E9" s="1">
        <v>22.15</v>
      </c>
      <c r="F9" s="1">
        <v>45.13</v>
      </c>
      <c r="G9" s="1" t="str">
        <f t="shared" si="0"/>
        <v>Août</v>
      </c>
    </row>
    <row r="10" spans="1:7" x14ac:dyDescent="0.55000000000000004">
      <c r="A10" s="1" t="s">
        <v>75</v>
      </c>
      <c r="B10" s="1">
        <v>9</v>
      </c>
      <c r="C10" s="1">
        <v>17.100000000000001</v>
      </c>
      <c r="D10" s="1">
        <v>13.59</v>
      </c>
      <c r="E10" s="1">
        <v>20.62</v>
      </c>
      <c r="F10" s="1">
        <v>61.51</v>
      </c>
      <c r="G10" s="1" t="str">
        <f t="shared" si="0"/>
        <v>Sept</v>
      </c>
    </row>
    <row r="11" spans="1:7" x14ac:dyDescent="0.55000000000000004">
      <c r="A11" s="1" t="s">
        <v>75</v>
      </c>
      <c r="B11" s="1">
        <v>10</v>
      </c>
      <c r="C11" s="1">
        <v>13.87</v>
      </c>
      <c r="D11" s="1">
        <v>11.04</v>
      </c>
      <c r="E11" s="1">
        <v>16.71</v>
      </c>
      <c r="F11" s="1">
        <v>114.33</v>
      </c>
      <c r="G11" s="1" t="str">
        <f t="shared" si="0"/>
        <v>Oct</v>
      </c>
    </row>
    <row r="12" spans="1:7" x14ac:dyDescent="0.55000000000000004">
      <c r="A12" s="1" t="s">
        <v>75</v>
      </c>
      <c r="B12" s="1">
        <v>11</v>
      </c>
      <c r="C12" s="1">
        <v>10.53</v>
      </c>
      <c r="D12" s="1">
        <v>8.17</v>
      </c>
      <c r="E12" s="1">
        <v>12.89</v>
      </c>
      <c r="F12" s="1">
        <v>106.99</v>
      </c>
      <c r="G12" s="1" t="str">
        <f t="shared" si="0"/>
        <v>Nov</v>
      </c>
    </row>
    <row r="13" spans="1:7" x14ac:dyDescent="0.55000000000000004">
      <c r="A13" s="1" t="s">
        <v>75</v>
      </c>
      <c r="B13" s="1">
        <v>12</v>
      </c>
      <c r="C13" s="1">
        <v>8.08</v>
      </c>
      <c r="D13" s="1">
        <v>6.13</v>
      </c>
      <c r="E13" s="1">
        <v>10.02</v>
      </c>
      <c r="F13" s="1">
        <v>107.71</v>
      </c>
      <c r="G13" s="1" t="str">
        <f t="shared" si="0"/>
        <v>Déc</v>
      </c>
    </row>
    <row r="14" spans="1:7" x14ac:dyDescent="0.55000000000000004">
      <c r="A14" s="1" t="s">
        <v>76</v>
      </c>
      <c r="B14" s="1">
        <v>1</v>
      </c>
      <c r="C14" s="1">
        <v>8.01</v>
      </c>
      <c r="D14" s="1">
        <v>5.95</v>
      </c>
      <c r="E14" s="1">
        <v>10.07</v>
      </c>
      <c r="F14" s="1">
        <v>117.93</v>
      </c>
      <c r="G14" s="1" t="str">
        <f t="shared" si="0"/>
        <v>Janv</v>
      </c>
    </row>
    <row r="15" spans="1:7" x14ac:dyDescent="0.55000000000000004">
      <c r="A15" s="1" t="s">
        <v>76</v>
      </c>
      <c r="B15" s="1">
        <v>2</v>
      </c>
      <c r="C15" s="1">
        <v>7.98</v>
      </c>
      <c r="D15" s="1">
        <v>5.62</v>
      </c>
      <c r="E15" s="1">
        <v>10.35</v>
      </c>
      <c r="F15" s="1">
        <v>102.45</v>
      </c>
      <c r="G15" s="1" t="str">
        <f t="shared" si="0"/>
        <v>Févr</v>
      </c>
    </row>
    <row r="16" spans="1:7" x14ac:dyDescent="0.55000000000000004">
      <c r="A16" s="1" t="s">
        <v>76</v>
      </c>
      <c r="B16" s="1">
        <v>3</v>
      </c>
      <c r="C16" s="1">
        <v>10.48</v>
      </c>
      <c r="D16" s="1">
        <v>7.67</v>
      </c>
      <c r="E16" s="1">
        <v>13.28</v>
      </c>
      <c r="F16" s="1">
        <v>93.34</v>
      </c>
      <c r="G16" s="1" t="str">
        <f t="shared" si="0"/>
        <v>Mars</v>
      </c>
    </row>
    <row r="17" spans="1:7" x14ac:dyDescent="0.55000000000000004">
      <c r="A17" s="1" t="s">
        <v>76</v>
      </c>
      <c r="B17" s="1">
        <v>4</v>
      </c>
      <c r="C17" s="1">
        <v>12.01</v>
      </c>
      <c r="D17" s="1">
        <v>9</v>
      </c>
      <c r="E17" s="1">
        <v>15.01</v>
      </c>
      <c r="F17" s="1">
        <v>72.03</v>
      </c>
      <c r="G17" s="1" t="str">
        <f t="shared" si="0"/>
        <v>Avr</v>
      </c>
    </row>
    <row r="18" spans="1:7" x14ac:dyDescent="0.55000000000000004">
      <c r="A18" s="1" t="s">
        <v>76</v>
      </c>
      <c r="B18" s="1">
        <v>5</v>
      </c>
      <c r="C18" s="1">
        <v>14.99</v>
      </c>
      <c r="D18" s="1">
        <v>11.8</v>
      </c>
      <c r="E18" s="1">
        <v>18.18</v>
      </c>
      <c r="F18" s="1">
        <v>66.180000000000007</v>
      </c>
      <c r="G18" s="1" t="str">
        <f t="shared" si="0"/>
        <v>Mai</v>
      </c>
    </row>
    <row r="19" spans="1:7" x14ac:dyDescent="0.55000000000000004">
      <c r="A19" s="1" t="s">
        <v>76</v>
      </c>
      <c r="B19" s="1">
        <v>6</v>
      </c>
      <c r="C19" s="1">
        <v>16.95</v>
      </c>
      <c r="D19" s="1">
        <v>13.61</v>
      </c>
      <c r="E19" s="1">
        <v>20.28</v>
      </c>
      <c r="F19" s="1">
        <v>43.25</v>
      </c>
      <c r="G19" s="1" t="str">
        <f t="shared" si="0"/>
        <v>Juin</v>
      </c>
    </row>
    <row r="20" spans="1:7" x14ac:dyDescent="0.55000000000000004">
      <c r="A20" s="1" t="s">
        <v>76</v>
      </c>
      <c r="B20" s="1">
        <v>7</v>
      </c>
      <c r="C20" s="1">
        <v>19.71</v>
      </c>
      <c r="D20" s="1">
        <v>16.41</v>
      </c>
      <c r="E20" s="1">
        <v>23.01</v>
      </c>
      <c r="F20" s="1">
        <v>54.15</v>
      </c>
      <c r="G20" s="1" t="str">
        <f t="shared" si="0"/>
        <v>Juil</v>
      </c>
    </row>
    <row r="21" spans="1:7" x14ac:dyDescent="0.55000000000000004">
      <c r="A21" s="1" t="s">
        <v>76</v>
      </c>
      <c r="B21" s="1">
        <v>8</v>
      </c>
      <c r="C21" s="1">
        <v>20.11</v>
      </c>
      <c r="D21" s="1">
        <v>16.899999999999999</v>
      </c>
      <c r="E21" s="1">
        <v>23.32</v>
      </c>
      <c r="F21" s="1">
        <v>47.2</v>
      </c>
      <c r="G21" s="1" t="str">
        <f t="shared" si="0"/>
        <v>Août</v>
      </c>
    </row>
    <row r="22" spans="1:7" x14ac:dyDescent="0.55000000000000004">
      <c r="A22" s="1" t="s">
        <v>76</v>
      </c>
      <c r="B22" s="1">
        <v>9</v>
      </c>
      <c r="C22" s="1">
        <v>18.260000000000002</v>
      </c>
      <c r="D22" s="1">
        <v>14.7</v>
      </c>
      <c r="E22" s="1">
        <v>21.81</v>
      </c>
      <c r="F22" s="1">
        <v>57.4</v>
      </c>
      <c r="G22" s="1" t="str">
        <f t="shared" si="0"/>
        <v>Sept</v>
      </c>
    </row>
    <row r="23" spans="1:7" x14ac:dyDescent="0.55000000000000004">
      <c r="A23" s="1" t="s">
        <v>76</v>
      </c>
      <c r="B23" s="1">
        <v>10</v>
      </c>
      <c r="C23" s="1">
        <v>14.77</v>
      </c>
      <c r="D23" s="1">
        <v>11.94</v>
      </c>
      <c r="E23" s="1">
        <v>17.61</v>
      </c>
      <c r="F23" s="1">
        <v>110.24</v>
      </c>
      <c r="G23" s="1" t="str">
        <f t="shared" si="0"/>
        <v>Oct</v>
      </c>
    </row>
    <row r="24" spans="1:7" x14ac:dyDescent="0.55000000000000004">
      <c r="A24" s="1" t="s">
        <v>76</v>
      </c>
      <c r="B24" s="1">
        <v>11</v>
      </c>
      <c r="C24" s="1">
        <v>11.67</v>
      </c>
      <c r="D24" s="1">
        <v>9.27</v>
      </c>
      <c r="E24" s="1">
        <v>14.07</v>
      </c>
      <c r="F24" s="1">
        <v>109.43</v>
      </c>
      <c r="G24" s="1" t="str">
        <f t="shared" si="0"/>
        <v>Nov</v>
      </c>
    </row>
    <row r="25" spans="1:7" x14ac:dyDescent="0.55000000000000004">
      <c r="A25" s="1" t="s">
        <v>76</v>
      </c>
      <c r="B25" s="1">
        <v>12</v>
      </c>
      <c r="C25" s="1">
        <v>9.32</v>
      </c>
      <c r="D25" s="1">
        <v>7.45</v>
      </c>
      <c r="E25" s="1">
        <v>11.19</v>
      </c>
      <c r="F25" s="1">
        <v>124.86</v>
      </c>
      <c r="G25" s="1" t="str">
        <f t="shared" si="0"/>
        <v>Déc</v>
      </c>
    </row>
    <row r="26" spans="1:7" x14ac:dyDescent="0.55000000000000004">
      <c r="A26" s="1" t="s">
        <v>77</v>
      </c>
      <c r="B26" s="1">
        <v>1</v>
      </c>
      <c r="C26" s="1">
        <v>9.86</v>
      </c>
      <c r="D26" s="1">
        <v>7.93</v>
      </c>
      <c r="E26" s="1">
        <v>11.79</v>
      </c>
      <c r="F26" s="1">
        <v>117.11</v>
      </c>
      <c r="G26" s="1" t="str">
        <f>PROPER(TEXT(DATE(2000,B26,1),"mmm"))</f>
        <v>Janv</v>
      </c>
    </row>
    <row r="27" spans="1:7" x14ac:dyDescent="0.55000000000000004">
      <c r="A27" s="1" t="s">
        <v>77</v>
      </c>
      <c r="B27" s="1">
        <v>2</v>
      </c>
      <c r="C27" s="1">
        <v>9.7899999999999991</v>
      </c>
      <c r="D27" s="1">
        <v>7.71</v>
      </c>
      <c r="E27" s="1">
        <v>11.87</v>
      </c>
      <c r="F27" s="1">
        <v>100.85</v>
      </c>
      <c r="G27" s="1" t="str">
        <f t="shared" si="0"/>
        <v>Févr</v>
      </c>
    </row>
    <row r="28" spans="1:7" x14ac:dyDescent="0.55000000000000004">
      <c r="A28" s="1" t="s">
        <v>77</v>
      </c>
      <c r="B28" s="1">
        <v>3</v>
      </c>
      <c r="C28" s="1">
        <v>10.96</v>
      </c>
      <c r="D28" s="1">
        <v>8.14</v>
      </c>
      <c r="E28" s="1">
        <v>13.79</v>
      </c>
      <c r="F28" s="1">
        <v>98.01</v>
      </c>
      <c r="G28" s="1" t="str">
        <f t="shared" si="0"/>
        <v>Mars</v>
      </c>
    </row>
    <row r="29" spans="1:7" x14ac:dyDescent="0.55000000000000004">
      <c r="A29" s="1" t="s">
        <v>77</v>
      </c>
      <c r="B29" s="1">
        <v>4</v>
      </c>
      <c r="C29" s="1">
        <v>13.44</v>
      </c>
      <c r="D29" s="1">
        <v>10.38</v>
      </c>
      <c r="E29" s="1">
        <v>16.510000000000002</v>
      </c>
      <c r="F29" s="1">
        <v>71.84</v>
      </c>
      <c r="G29" s="1" t="str">
        <f t="shared" si="0"/>
        <v>Avr</v>
      </c>
    </row>
    <row r="30" spans="1:7" x14ac:dyDescent="0.55000000000000004">
      <c r="A30" s="1" t="s">
        <v>77</v>
      </c>
      <c r="B30" s="1">
        <v>5</v>
      </c>
      <c r="C30" s="1">
        <v>16.93</v>
      </c>
      <c r="D30" s="1">
        <v>13.7</v>
      </c>
      <c r="E30" s="1">
        <v>20.149999999999999</v>
      </c>
      <c r="F30" s="1">
        <v>59.86</v>
      </c>
      <c r="G30" s="1" t="str">
        <f t="shared" si="0"/>
        <v>Mai</v>
      </c>
    </row>
    <row r="31" spans="1:7" x14ac:dyDescent="0.55000000000000004">
      <c r="A31" s="1" t="s">
        <v>77</v>
      </c>
      <c r="B31" s="1">
        <v>6</v>
      </c>
      <c r="C31" s="1">
        <v>18.18</v>
      </c>
      <c r="D31" s="1">
        <v>14.87</v>
      </c>
      <c r="E31" s="1">
        <v>21.49</v>
      </c>
      <c r="F31" s="1">
        <v>48.85</v>
      </c>
      <c r="G31" s="1" t="str">
        <f t="shared" si="0"/>
        <v>Juin</v>
      </c>
    </row>
    <row r="32" spans="1:7" x14ac:dyDescent="0.55000000000000004">
      <c r="A32" s="1" t="s">
        <v>77</v>
      </c>
      <c r="B32" s="1">
        <v>7</v>
      </c>
      <c r="C32" s="1">
        <v>20.8</v>
      </c>
      <c r="D32" s="1">
        <v>17.559999999999999</v>
      </c>
      <c r="E32" s="1">
        <v>24.04</v>
      </c>
      <c r="F32" s="1">
        <v>42.58</v>
      </c>
      <c r="G32" s="1" t="str">
        <f t="shared" si="0"/>
        <v>Juil</v>
      </c>
    </row>
    <row r="33" spans="1:7" x14ac:dyDescent="0.55000000000000004">
      <c r="A33" s="1" t="s">
        <v>77</v>
      </c>
      <c r="B33" s="1">
        <v>8</v>
      </c>
      <c r="C33" s="1">
        <v>21.61</v>
      </c>
      <c r="D33" s="1">
        <v>18.57</v>
      </c>
      <c r="E33" s="1">
        <v>24.65</v>
      </c>
      <c r="F33" s="1">
        <v>45.93</v>
      </c>
      <c r="G33" s="1" t="str">
        <f t="shared" si="0"/>
        <v>Août</v>
      </c>
    </row>
    <row r="34" spans="1:7" x14ac:dyDescent="0.55000000000000004">
      <c r="A34" s="1" t="s">
        <v>77</v>
      </c>
      <c r="B34" s="1">
        <v>9</v>
      </c>
      <c r="C34" s="1">
        <v>20</v>
      </c>
      <c r="D34" s="1">
        <v>16.559999999999999</v>
      </c>
      <c r="E34" s="1">
        <v>23.44</v>
      </c>
      <c r="F34" s="1">
        <v>70.7</v>
      </c>
      <c r="G34" s="1" t="str">
        <f t="shared" si="0"/>
        <v>Sept</v>
      </c>
    </row>
    <row r="35" spans="1:7" x14ac:dyDescent="0.55000000000000004">
      <c r="A35" s="1" t="s">
        <v>77</v>
      </c>
      <c r="B35" s="1">
        <v>10</v>
      </c>
      <c r="C35" s="1">
        <v>16.37</v>
      </c>
      <c r="D35" s="1">
        <v>13.34</v>
      </c>
      <c r="E35" s="1">
        <v>19.399999999999999</v>
      </c>
      <c r="F35" s="1">
        <v>91.35</v>
      </c>
      <c r="G35" s="1" t="str">
        <f t="shared" si="0"/>
        <v>Oct</v>
      </c>
    </row>
    <row r="36" spans="1:7" x14ac:dyDescent="0.55000000000000004">
      <c r="A36" s="1" t="s">
        <v>77</v>
      </c>
      <c r="B36" s="1">
        <v>11</v>
      </c>
      <c r="C36" s="1">
        <v>13.24</v>
      </c>
      <c r="D36" s="1">
        <v>10.75</v>
      </c>
      <c r="E36" s="1">
        <v>15.72</v>
      </c>
      <c r="F36" s="1">
        <v>111.15</v>
      </c>
      <c r="G36" s="1" t="str">
        <f t="shared" si="0"/>
        <v>Nov</v>
      </c>
    </row>
    <row r="37" spans="1:7" x14ac:dyDescent="0.55000000000000004">
      <c r="A37" s="1" t="s">
        <v>77</v>
      </c>
      <c r="B37" s="1">
        <v>12</v>
      </c>
      <c r="C37" s="1">
        <v>10.58</v>
      </c>
      <c r="D37" s="1">
        <v>8.7100000000000009</v>
      </c>
      <c r="E37" s="1">
        <v>12.46</v>
      </c>
      <c r="F37" s="1">
        <v>131.01</v>
      </c>
      <c r="G37" s="1" t="str">
        <f t="shared" si="0"/>
        <v>Déc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C4748-26F6-4A19-AF84-2FE950FB6589}">
  <dimension ref="A1:F37"/>
  <sheetViews>
    <sheetView workbookViewId="0">
      <selection activeCell="G5" sqref="G5"/>
    </sheetView>
  </sheetViews>
  <sheetFormatPr baseColWidth="10" defaultRowHeight="14.4" x14ac:dyDescent="0.55000000000000004"/>
  <cols>
    <col min="1" max="1" width="9.26171875" bestFit="1" customWidth="1"/>
    <col min="2" max="2" width="5.20703125" bestFit="1" customWidth="1"/>
    <col min="3" max="3" width="9.41796875" customWidth="1"/>
    <col min="4" max="4" width="10.3125" customWidth="1"/>
    <col min="5" max="5" width="9.05078125" customWidth="1"/>
    <col min="6" max="6" width="12.9453125" bestFit="1" customWidth="1"/>
  </cols>
  <sheetData>
    <row r="1" spans="1:6" x14ac:dyDescent="0.55000000000000004">
      <c r="A1" s="2" t="s">
        <v>0</v>
      </c>
      <c r="B1" s="2" t="s">
        <v>6</v>
      </c>
      <c r="C1" s="2" t="s">
        <v>28</v>
      </c>
      <c r="D1" s="2" t="s">
        <v>37</v>
      </c>
      <c r="E1" s="2" t="s">
        <v>78</v>
      </c>
      <c r="F1" s="2" t="s">
        <v>1</v>
      </c>
    </row>
    <row r="2" spans="1:6" x14ac:dyDescent="0.55000000000000004">
      <c r="A2" s="1" t="s">
        <v>75</v>
      </c>
      <c r="B2" s="1">
        <v>1</v>
      </c>
      <c r="C2" s="1">
        <v>124.02</v>
      </c>
      <c r="D2" s="1">
        <v>17.18</v>
      </c>
      <c r="E2" s="1">
        <v>106.84</v>
      </c>
      <c r="F2" s="1" t="str">
        <f>PROPER(TEXT(DATE(2000,B2,1),"mmm"))</f>
        <v>Janv</v>
      </c>
    </row>
    <row r="3" spans="1:6" x14ac:dyDescent="0.55000000000000004">
      <c r="A3" s="1" t="s">
        <v>75</v>
      </c>
      <c r="B3" s="1">
        <v>2</v>
      </c>
      <c r="C3" s="1">
        <v>100.52</v>
      </c>
      <c r="D3" s="1">
        <v>22.38</v>
      </c>
      <c r="E3" s="1">
        <v>78.14</v>
      </c>
      <c r="F3" s="1" t="str">
        <f t="shared" ref="F3:F37" si="0">PROPER(TEXT(DATE(2000,B3,1),"mmm"))</f>
        <v>Févr</v>
      </c>
    </row>
    <row r="4" spans="1:6" x14ac:dyDescent="0.55000000000000004">
      <c r="A4" s="1" t="s">
        <v>75</v>
      </c>
      <c r="B4" s="1">
        <v>3</v>
      </c>
      <c r="C4" s="1">
        <v>99.07</v>
      </c>
      <c r="D4" s="1">
        <v>40.28</v>
      </c>
      <c r="E4" s="1">
        <v>58.79</v>
      </c>
      <c r="F4" s="1" t="str">
        <f t="shared" si="0"/>
        <v>Mars</v>
      </c>
    </row>
    <row r="5" spans="1:6" x14ac:dyDescent="0.55000000000000004">
      <c r="A5" s="1" t="s">
        <v>75</v>
      </c>
      <c r="B5" s="1">
        <v>4</v>
      </c>
      <c r="C5" s="1">
        <v>73.83</v>
      </c>
      <c r="D5" s="1">
        <v>61.36</v>
      </c>
      <c r="E5" s="1">
        <v>12.47</v>
      </c>
      <c r="F5" s="1" t="str">
        <f t="shared" si="0"/>
        <v>Avr</v>
      </c>
    </row>
    <row r="6" spans="1:6" x14ac:dyDescent="0.55000000000000004">
      <c r="A6" s="1" t="s">
        <v>75</v>
      </c>
      <c r="B6" s="1">
        <v>5</v>
      </c>
      <c r="C6" s="1">
        <v>68.02</v>
      </c>
      <c r="D6" s="1">
        <v>89.5</v>
      </c>
      <c r="E6" s="1">
        <v>-21.48</v>
      </c>
      <c r="F6" s="1" t="str">
        <f t="shared" si="0"/>
        <v>Mai</v>
      </c>
    </row>
    <row r="7" spans="1:6" x14ac:dyDescent="0.55000000000000004">
      <c r="A7" s="1" t="s">
        <v>75</v>
      </c>
      <c r="B7" s="1">
        <v>6</v>
      </c>
      <c r="C7" s="1">
        <v>58.35</v>
      </c>
      <c r="D7" s="1">
        <v>88.56</v>
      </c>
      <c r="E7" s="1">
        <v>-30.21</v>
      </c>
      <c r="F7" s="1" t="str">
        <f t="shared" si="0"/>
        <v>Juin</v>
      </c>
    </row>
    <row r="8" spans="1:6" x14ac:dyDescent="0.55000000000000004">
      <c r="A8" s="1" t="s">
        <v>75</v>
      </c>
      <c r="B8" s="1">
        <v>7</v>
      </c>
      <c r="C8" s="1">
        <v>67.34</v>
      </c>
      <c r="D8" s="1">
        <v>99.79</v>
      </c>
      <c r="E8" s="1">
        <v>-32.450000000000003</v>
      </c>
      <c r="F8" s="1" t="str">
        <f t="shared" si="0"/>
        <v>Juil</v>
      </c>
    </row>
    <row r="9" spans="1:6" x14ac:dyDescent="0.55000000000000004">
      <c r="A9" s="1" t="s">
        <v>75</v>
      </c>
      <c r="B9" s="1">
        <v>8</v>
      </c>
      <c r="C9" s="1">
        <v>45.13</v>
      </c>
      <c r="D9" s="1">
        <v>86.13</v>
      </c>
      <c r="E9" s="1">
        <v>-41</v>
      </c>
      <c r="F9" s="1" t="str">
        <f t="shared" si="0"/>
        <v>Août</v>
      </c>
    </row>
    <row r="10" spans="1:6" x14ac:dyDescent="0.55000000000000004">
      <c r="A10" s="1" t="s">
        <v>75</v>
      </c>
      <c r="B10" s="1">
        <v>9</v>
      </c>
      <c r="C10" s="1">
        <v>61.51</v>
      </c>
      <c r="D10" s="1">
        <v>64.84</v>
      </c>
      <c r="E10" s="1">
        <v>-3.3300000000000098</v>
      </c>
      <c r="F10" s="1" t="str">
        <f t="shared" si="0"/>
        <v>Sept</v>
      </c>
    </row>
    <row r="11" spans="1:6" x14ac:dyDescent="0.55000000000000004">
      <c r="A11" s="1" t="s">
        <v>75</v>
      </c>
      <c r="B11" s="1">
        <v>10</v>
      </c>
      <c r="C11" s="1">
        <v>114.33</v>
      </c>
      <c r="D11" s="1">
        <v>37.04</v>
      </c>
      <c r="E11" s="1">
        <v>77.290000000000006</v>
      </c>
      <c r="F11" s="1" t="str">
        <f t="shared" si="0"/>
        <v>Oct</v>
      </c>
    </row>
    <row r="12" spans="1:6" x14ac:dyDescent="0.55000000000000004">
      <c r="A12" s="1" t="s">
        <v>75</v>
      </c>
      <c r="B12" s="1">
        <v>11</v>
      </c>
      <c r="C12" s="1">
        <v>106.99</v>
      </c>
      <c r="D12" s="1">
        <v>19.43</v>
      </c>
      <c r="E12" s="1">
        <v>87.56</v>
      </c>
      <c r="F12" s="1" t="str">
        <f t="shared" si="0"/>
        <v>Nov</v>
      </c>
    </row>
    <row r="13" spans="1:6" x14ac:dyDescent="0.55000000000000004">
      <c r="A13" s="1" t="s">
        <v>75</v>
      </c>
      <c r="B13" s="1">
        <v>12</v>
      </c>
      <c r="C13" s="1">
        <v>107.71</v>
      </c>
      <c r="D13" s="1">
        <v>15.44</v>
      </c>
      <c r="E13" s="1">
        <v>92.27</v>
      </c>
      <c r="F13" s="1" t="str">
        <f t="shared" si="0"/>
        <v>Déc</v>
      </c>
    </row>
    <row r="14" spans="1:6" x14ac:dyDescent="0.55000000000000004">
      <c r="A14" s="1" t="s">
        <v>76</v>
      </c>
      <c r="B14" s="1">
        <v>1</v>
      </c>
      <c r="C14" s="1">
        <v>117.93</v>
      </c>
      <c r="D14" s="1">
        <v>17.48</v>
      </c>
      <c r="E14" s="1">
        <v>100.45</v>
      </c>
      <c r="F14" s="1" t="str">
        <f t="shared" si="0"/>
        <v>Janv</v>
      </c>
    </row>
    <row r="15" spans="1:6" x14ac:dyDescent="0.55000000000000004">
      <c r="A15" s="1" t="s">
        <v>76</v>
      </c>
      <c r="B15" s="1">
        <v>2</v>
      </c>
      <c r="C15" s="1">
        <v>102.45</v>
      </c>
      <c r="D15" s="1">
        <v>21.99</v>
      </c>
      <c r="E15" s="1">
        <v>80.459999999999994</v>
      </c>
      <c r="F15" s="1" t="str">
        <f t="shared" si="0"/>
        <v>Févr</v>
      </c>
    </row>
    <row r="16" spans="1:6" x14ac:dyDescent="0.55000000000000004">
      <c r="A16" s="1" t="s">
        <v>76</v>
      </c>
      <c r="B16" s="1">
        <v>3</v>
      </c>
      <c r="C16" s="1">
        <v>93.34</v>
      </c>
      <c r="D16" s="1">
        <v>43</v>
      </c>
      <c r="E16" s="1">
        <v>50.34</v>
      </c>
      <c r="F16" s="1" t="str">
        <f t="shared" si="0"/>
        <v>Mars</v>
      </c>
    </row>
    <row r="17" spans="1:6" x14ac:dyDescent="0.55000000000000004">
      <c r="A17" s="1" t="s">
        <v>76</v>
      </c>
      <c r="B17" s="1">
        <v>4</v>
      </c>
      <c r="C17" s="1">
        <v>72.03</v>
      </c>
      <c r="D17" s="1">
        <v>63.39</v>
      </c>
      <c r="E17" s="1">
        <v>8.64</v>
      </c>
      <c r="F17" s="1" t="str">
        <f t="shared" si="0"/>
        <v>Avr</v>
      </c>
    </row>
    <row r="18" spans="1:6" x14ac:dyDescent="0.55000000000000004">
      <c r="A18" s="1" t="s">
        <v>76</v>
      </c>
      <c r="B18" s="1">
        <v>5</v>
      </c>
      <c r="C18" s="1">
        <v>66.180000000000007</v>
      </c>
      <c r="D18" s="1">
        <v>90.54</v>
      </c>
      <c r="E18" s="1">
        <v>-24.36</v>
      </c>
      <c r="F18" s="1" t="str">
        <f t="shared" si="0"/>
        <v>Mai</v>
      </c>
    </row>
    <row r="19" spans="1:6" x14ac:dyDescent="0.55000000000000004">
      <c r="A19" s="1" t="s">
        <v>76</v>
      </c>
      <c r="B19" s="1">
        <v>6</v>
      </c>
      <c r="C19" s="1">
        <v>43.25</v>
      </c>
      <c r="D19" s="1">
        <v>94.89</v>
      </c>
      <c r="E19" s="1">
        <v>-51.64</v>
      </c>
      <c r="F19" s="1" t="str">
        <f t="shared" si="0"/>
        <v>Juin</v>
      </c>
    </row>
    <row r="20" spans="1:6" x14ac:dyDescent="0.55000000000000004">
      <c r="A20" s="1" t="s">
        <v>76</v>
      </c>
      <c r="B20" s="1">
        <v>7</v>
      </c>
      <c r="C20" s="1">
        <v>54.15</v>
      </c>
      <c r="D20" s="1">
        <v>104.54</v>
      </c>
      <c r="E20" s="1">
        <v>-50.39</v>
      </c>
      <c r="F20" s="1" t="str">
        <f t="shared" si="0"/>
        <v>Juil</v>
      </c>
    </row>
    <row r="21" spans="1:6" x14ac:dyDescent="0.55000000000000004">
      <c r="A21" s="1" t="s">
        <v>76</v>
      </c>
      <c r="B21" s="1">
        <v>8</v>
      </c>
      <c r="C21" s="1">
        <v>47.2</v>
      </c>
      <c r="D21" s="1">
        <v>90.12</v>
      </c>
      <c r="E21" s="1">
        <v>-42.92</v>
      </c>
      <c r="F21" s="1" t="str">
        <f t="shared" si="0"/>
        <v>Août</v>
      </c>
    </row>
    <row r="22" spans="1:6" x14ac:dyDescent="0.55000000000000004">
      <c r="A22" s="1" t="s">
        <v>76</v>
      </c>
      <c r="B22" s="1">
        <v>9</v>
      </c>
      <c r="C22" s="1">
        <v>57.4</v>
      </c>
      <c r="D22" s="1">
        <v>69.58</v>
      </c>
      <c r="E22" s="1">
        <v>-12.18</v>
      </c>
      <c r="F22" s="1" t="str">
        <f t="shared" si="0"/>
        <v>Sept</v>
      </c>
    </row>
    <row r="23" spans="1:6" x14ac:dyDescent="0.55000000000000004">
      <c r="A23" s="1" t="s">
        <v>76</v>
      </c>
      <c r="B23" s="1">
        <v>10</v>
      </c>
      <c r="C23" s="1">
        <v>110.24</v>
      </c>
      <c r="D23" s="1">
        <v>37.299999999999997</v>
      </c>
      <c r="E23" s="1">
        <v>72.94</v>
      </c>
      <c r="F23" s="1" t="str">
        <f t="shared" si="0"/>
        <v>Oct</v>
      </c>
    </row>
    <row r="24" spans="1:6" x14ac:dyDescent="0.55000000000000004">
      <c r="A24" s="1" t="s">
        <v>76</v>
      </c>
      <c r="B24" s="1">
        <v>11</v>
      </c>
      <c r="C24" s="1">
        <v>109.43</v>
      </c>
      <c r="D24" s="1">
        <v>20.079999999999998</v>
      </c>
      <c r="E24" s="1">
        <v>89.35</v>
      </c>
      <c r="F24" s="1" t="str">
        <f t="shared" si="0"/>
        <v>Nov</v>
      </c>
    </row>
    <row r="25" spans="1:6" x14ac:dyDescent="0.55000000000000004">
      <c r="A25" s="1" t="s">
        <v>76</v>
      </c>
      <c r="B25" s="1">
        <v>12</v>
      </c>
      <c r="C25" s="1">
        <v>124.86</v>
      </c>
      <c r="D25" s="1">
        <v>15.7</v>
      </c>
      <c r="E25" s="1">
        <v>109.16</v>
      </c>
      <c r="F25" s="1" t="str">
        <f t="shared" si="0"/>
        <v>Déc</v>
      </c>
    </row>
    <row r="26" spans="1:6" x14ac:dyDescent="0.55000000000000004">
      <c r="A26" s="1" t="s">
        <v>77</v>
      </c>
      <c r="B26" s="1">
        <v>1</v>
      </c>
      <c r="C26" s="1">
        <v>117.11</v>
      </c>
      <c r="D26" s="1">
        <v>19.14</v>
      </c>
      <c r="E26" s="1">
        <v>97.97</v>
      </c>
      <c r="F26" s="1" t="str">
        <f t="shared" si="0"/>
        <v>Janv</v>
      </c>
    </row>
    <row r="27" spans="1:6" x14ac:dyDescent="0.55000000000000004">
      <c r="A27" s="1" t="s">
        <v>77</v>
      </c>
      <c r="B27" s="1">
        <v>2</v>
      </c>
      <c r="C27" s="1">
        <v>100.85</v>
      </c>
      <c r="D27" s="1">
        <v>24.52</v>
      </c>
      <c r="E27" s="1">
        <v>76.33</v>
      </c>
      <c r="F27" s="1" t="str">
        <f t="shared" si="0"/>
        <v>Févr</v>
      </c>
    </row>
    <row r="28" spans="1:6" x14ac:dyDescent="0.55000000000000004">
      <c r="A28" s="1" t="s">
        <v>77</v>
      </c>
      <c r="B28" s="1">
        <v>3</v>
      </c>
      <c r="C28" s="1">
        <v>98.01</v>
      </c>
      <c r="D28" s="1">
        <v>45.92</v>
      </c>
      <c r="E28" s="1">
        <v>52.09</v>
      </c>
      <c r="F28" s="1" t="str">
        <f t="shared" si="0"/>
        <v>Mars</v>
      </c>
    </row>
    <row r="29" spans="1:6" x14ac:dyDescent="0.55000000000000004">
      <c r="A29" s="1" t="s">
        <v>77</v>
      </c>
      <c r="B29" s="1">
        <v>4</v>
      </c>
      <c r="C29" s="1">
        <v>71.84</v>
      </c>
      <c r="D29" s="1">
        <v>68.239999999999995</v>
      </c>
      <c r="E29" s="1">
        <v>3.6000000000000099</v>
      </c>
      <c r="F29" s="1" t="str">
        <f t="shared" si="0"/>
        <v>Avr</v>
      </c>
    </row>
    <row r="30" spans="1:6" x14ac:dyDescent="0.55000000000000004">
      <c r="A30" s="1" t="s">
        <v>77</v>
      </c>
      <c r="B30" s="1">
        <v>5</v>
      </c>
      <c r="C30" s="1">
        <v>59.86</v>
      </c>
      <c r="D30" s="1">
        <v>98.97</v>
      </c>
      <c r="E30" s="1">
        <v>-39.11</v>
      </c>
      <c r="F30" s="1" t="str">
        <f t="shared" si="0"/>
        <v>Mai</v>
      </c>
    </row>
    <row r="31" spans="1:6" x14ac:dyDescent="0.55000000000000004">
      <c r="A31" s="1" t="s">
        <v>77</v>
      </c>
      <c r="B31" s="1">
        <v>6</v>
      </c>
      <c r="C31" s="1">
        <v>48.85</v>
      </c>
      <c r="D31" s="1">
        <v>99.39</v>
      </c>
      <c r="E31" s="1">
        <v>-50.54</v>
      </c>
      <c r="F31" s="1" t="str">
        <f t="shared" si="0"/>
        <v>Juin</v>
      </c>
    </row>
    <row r="32" spans="1:6" x14ac:dyDescent="0.55000000000000004">
      <c r="A32" s="1" t="s">
        <v>77</v>
      </c>
      <c r="B32" s="1">
        <v>7</v>
      </c>
      <c r="C32" s="1">
        <v>42.58</v>
      </c>
      <c r="D32" s="1">
        <v>106.68</v>
      </c>
      <c r="E32" s="1">
        <v>-64.099999999999994</v>
      </c>
      <c r="F32" s="1" t="str">
        <f t="shared" si="0"/>
        <v>Juil</v>
      </c>
    </row>
    <row r="33" spans="1:6" x14ac:dyDescent="0.55000000000000004">
      <c r="A33" s="1" t="s">
        <v>77</v>
      </c>
      <c r="B33" s="1">
        <v>8</v>
      </c>
      <c r="C33" s="1">
        <v>45.93</v>
      </c>
      <c r="D33" s="1">
        <v>92.83</v>
      </c>
      <c r="E33" s="1">
        <v>-46.9</v>
      </c>
      <c r="F33" s="1" t="str">
        <f t="shared" si="0"/>
        <v>Août</v>
      </c>
    </row>
    <row r="34" spans="1:6" x14ac:dyDescent="0.55000000000000004">
      <c r="A34" s="1" t="s">
        <v>77</v>
      </c>
      <c r="B34" s="1">
        <v>9</v>
      </c>
      <c r="C34" s="1">
        <v>70.7</v>
      </c>
      <c r="D34" s="1">
        <v>71.760000000000005</v>
      </c>
      <c r="E34" s="1">
        <v>-1.06</v>
      </c>
      <c r="F34" s="1" t="str">
        <f t="shared" si="0"/>
        <v>Sept</v>
      </c>
    </row>
    <row r="35" spans="1:6" x14ac:dyDescent="0.55000000000000004">
      <c r="A35" s="1" t="s">
        <v>77</v>
      </c>
      <c r="B35" s="1">
        <v>10</v>
      </c>
      <c r="C35" s="1">
        <v>91.35</v>
      </c>
      <c r="D35" s="1">
        <v>41.52</v>
      </c>
      <c r="E35" s="1">
        <v>49.83</v>
      </c>
      <c r="F35" s="1" t="str">
        <f t="shared" si="0"/>
        <v>Oct</v>
      </c>
    </row>
    <row r="36" spans="1:6" x14ac:dyDescent="0.55000000000000004">
      <c r="A36" s="1" t="s">
        <v>77</v>
      </c>
      <c r="B36" s="1">
        <v>11</v>
      </c>
      <c r="C36" s="1">
        <v>111.15</v>
      </c>
      <c r="D36" s="1">
        <v>21.37</v>
      </c>
      <c r="E36" s="1">
        <v>89.78</v>
      </c>
      <c r="F36" s="1" t="str">
        <f t="shared" si="0"/>
        <v>Nov</v>
      </c>
    </row>
    <row r="37" spans="1:6" x14ac:dyDescent="0.55000000000000004">
      <c r="A37" s="1" t="s">
        <v>77</v>
      </c>
      <c r="B37" s="1">
        <v>12</v>
      </c>
      <c r="C37" s="1">
        <v>131.01</v>
      </c>
      <c r="D37" s="1">
        <v>16.47</v>
      </c>
      <c r="E37" s="1">
        <v>114.54</v>
      </c>
      <c r="F37" s="1" t="str">
        <f t="shared" si="0"/>
        <v>Déc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DRIAS_METADATA</vt:lpstr>
      <vt:lpstr>DRIAS_RAW</vt:lpstr>
      <vt:lpstr>DRIAS_OMBRO</vt:lpstr>
      <vt:lpstr>DRIAS_ETP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PaulCarteron</dc:creator>
  <cp:lastModifiedBy>Paul Carteron</cp:lastModifiedBy>
  <dcterms:created xsi:type="dcterms:W3CDTF">2026-02-10T14:51:35Z</dcterms:created>
  <dcterms:modified xsi:type="dcterms:W3CDTF">2026-02-16T18:41:30Z</dcterms:modified>
</cp:coreProperties>
</file>